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emerson.sharepoint.com/sites/1058503_NextElectricRod-styleActuator/Shared Documents/31_ENG_Laboratory/430_Measuring_results/Endurance_test/"/>
    </mc:Choice>
  </mc:AlternateContent>
  <xr:revisionPtr revIDLastSave="200" documentId="13_ncr:1_{B3A1622A-B752-4440-94AD-A873C95D0158}" xr6:coauthVersionLast="47" xr6:coauthVersionMax="47" xr10:uidLastSave="{FC939B6F-99F9-474F-9D14-0E1F636A3879}"/>
  <bookViews>
    <workbookView xWindow="-120" yWindow="-120" windowWidth="29040" windowHeight="15720" activeTab="4" xr2:uid="{00000000-000D-0000-FFFF-FFFF00000000}"/>
  </bookViews>
  <sheets>
    <sheet name="D63_Nr_13_14_15 (16_17)" sheetId="8" r:id="rId1"/>
    <sheet name="D63_Nr_1_2_3" sheetId="5" r:id="rId2"/>
    <sheet name="D32_Nr_1_2_3" sheetId="4" r:id="rId3"/>
    <sheet name="D100_Nr_1_2_3" sheetId="1" r:id="rId4"/>
    <sheet name="D63_Nr_7_8_9" sheetId="3" r:id="rId5"/>
    <sheet name="D32_Nr_13_14_15"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8" l="1"/>
  <c r="I25" i="5"/>
  <c r="H25" i="5"/>
  <c r="G25" i="5"/>
  <c r="I24" i="5"/>
  <c r="H24" i="5"/>
  <c r="G24" i="5"/>
  <c r="A24" i="5"/>
  <c r="I23" i="5"/>
  <c r="H23" i="5"/>
  <c r="G23" i="5"/>
  <c r="I22" i="5"/>
  <c r="H22" i="5"/>
  <c r="G22" i="5"/>
  <c r="A22" i="5"/>
  <c r="I21" i="5"/>
  <c r="A21" i="5"/>
  <c r="H21" i="5" s="1"/>
  <c r="I20" i="5"/>
  <c r="H20" i="5"/>
  <c r="A19" i="5"/>
  <c r="G20" i="5" s="1"/>
  <c r="I18" i="5"/>
  <c r="H18" i="5"/>
  <c r="G18" i="5"/>
  <c r="A18" i="5"/>
  <c r="A17" i="5"/>
  <c r="I17" i="5" s="1"/>
  <c r="I16" i="5"/>
  <c r="H16" i="5"/>
  <c r="G16" i="5"/>
  <c r="A15" i="5"/>
  <c r="I15" i="5" s="1"/>
  <c r="I14" i="5"/>
  <c r="H14" i="5"/>
  <c r="G14" i="5"/>
  <c r="I13" i="5"/>
  <c r="H13" i="5"/>
  <c r="G13" i="5"/>
  <c r="I12" i="5"/>
  <c r="H12" i="5"/>
  <c r="G12" i="5"/>
  <c r="I11" i="5"/>
  <c r="H11" i="5"/>
  <c r="G11" i="5"/>
  <c r="A10" i="5"/>
  <c r="G10" i="5" s="1"/>
  <c r="A9" i="5"/>
  <c r="I10" i="5" s="1"/>
  <c r="A7" i="5"/>
  <c r="I8" i="5" s="1"/>
  <c r="B3" i="5"/>
  <c r="B3" i="1"/>
  <c r="B3" i="3"/>
  <c r="B3" i="4"/>
  <c r="I37" i="4"/>
  <c r="I36" i="4"/>
  <c r="G35" i="4"/>
  <c r="G26" i="1"/>
  <c r="H26" i="1"/>
  <c r="I26" i="1"/>
  <c r="I28" i="1"/>
  <c r="G30" i="1"/>
  <c r="H30" i="1"/>
  <c r="I30" i="1"/>
  <c r="G31" i="1"/>
  <c r="H31" i="1"/>
  <c r="I31" i="1"/>
  <c r="G32" i="1"/>
  <c r="H32" i="1"/>
  <c r="I32" i="1"/>
  <c r="G33" i="1"/>
  <c r="H33" i="1"/>
  <c r="I33" i="1"/>
  <c r="G34" i="1"/>
  <c r="H34" i="1"/>
  <c r="I34" i="1"/>
  <c r="G35" i="1"/>
  <c r="H35" i="1"/>
  <c r="I35" i="1"/>
  <c r="G36" i="1"/>
  <c r="H36" i="1"/>
  <c r="I36" i="1"/>
  <c r="G37" i="1"/>
  <c r="H37" i="1"/>
  <c r="I37" i="1"/>
  <c r="G40" i="1"/>
  <c r="H40" i="1"/>
  <c r="I40" i="1"/>
  <c r="G41" i="1"/>
  <c r="H41" i="1"/>
  <c r="I41" i="1"/>
  <c r="G42" i="1"/>
  <c r="H42" i="1"/>
  <c r="I42" i="1"/>
  <c r="G43" i="1"/>
  <c r="H43" i="1"/>
  <c r="I43" i="1"/>
  <c r="I44" i="1"/>
  <c r="I45" i="1"/>
  <c r="G46" i="1"/>
  <c r="H46" i="1"/>
  <c r="I46" i="1"/>
  <c r="G48" i="1"/>
  <c r="H48" i="1"/>
  <c r="I48" i="1"/>
  <c r="G49" i="1"/>
  <c r="H49" i="1"/>
  <c r="I49" i="1"/>
  <c r="G50" i="1"/>
  <c r="H50" i="1"/>
  <c r="I50" i="1"/>
  <c r="G51" i="1"/>
  <c r="H51" i="1"/>
  <c r="I51" i="1"/>
  <c r="G52" i="1"/>
  <c r="H52" i="1"/>
  <c r="I52" i="1"/>
  <c r="I53" i="1"/>
  <c r="G54" i="1"/>
  <c r="H54" i="1"/>
  <c r="I54" i="1"/>
  <c r="G55" i="1"/>
  <c r="H55" i="1"/>
  <c r="I55" i="1"/>
  <c r="A54" i="1"/>
  <c r="A52" i="1"/>
  <c r="G53" i="1" s="1"/>
  <c r="A45" i="1"/>
  <c r="G45" i="1" s="1"/>
  <c r="A46" i="1"/>
  <c r="H47" i="1" s="1"/>
  <c r="A44" i="1"/>
  <c r="G44" i="1" s="1"/>
  <c r="A40" i="1"/>
  <c r="A38" i="1"/>
  <c r="I38" i="1" s="1"/>
  <c r="A28" i="1"/>
  <c r="G28" i="1" s="1"/>
  <c r="A27" i="1"/>
  <c r="G27" i="1" s="1"/>
  <c r="A24" i="1"/>
  <c r="G25" i="1" s="1"/>
  <c r="A23" i="1"/>
  <c r="I23" i="1"/>
  <c r="A21" i="1"/>
  <c r="A15" i="1"/>
  <c r="I15" i="1" s="1"/>
  <c r="A12" i="1"/>
  <c r="H13" i="1" s="1"/>
  <c r="A8" i="1"/>
  <c r="A9" i="1"/>
  <c r="H10" i="1" s="1"/>
  <c r="A7" i="1"/>
  <c r="G8" i="1" s="1"/>
  <c r="H25" i="1"/>
  <c r="H24" i="1"/>
  <c r="I22" i="1"/>
  <c r="H22" i="1"/>
  <c r="G22" i="1"/>
  <c r="I21" i="1"/>
  <c r="H21" i="1"/>
  <c r="G21" i="1"/>
  <c r="I20" i="1"/>
  <c r="H20" i="1"/>
  <c r="G20" i="1"/>
  <c r="I19" i="1"/>
  <c r="H19" i="1"/>
  <c r="G19" i="1"/>
  <c r="I18" i="1"/>
  <c r="H18" i="1"/>
  <c r="G18" i="1"/>
  <c r="I17" i="1"/>
  <c r="H17" i="1"/>
  <c r="G17" i="1"/>
  <c r="H16" i="1"/>
  <c r="I14" i="1"/>
  <c r="H14" i="1"/>
  <c r="G14" i="1"/>
  <c r="I12" i="1"/>
  <c r="I11" i="1"/>
  <c r="H11" i="1"/>
  <c r="G11" i="1"/>
  <c r="I10" i="1"/>
  <c r="G10" i="1"/>
  <c r="I9" i="1"/>
  <c r="G9" i="1"/>
  <c r="G8" i="4"/>
  <c r="H8" i="4"/>
  <c r="G10" i="4"/>
  <c r="H10" i="4"/>
  <c r="I10" i="4"/>
  <c r="G11" i="4"/>
  <c r="H11" i="4"/>
  <c r="I11" i="4"/>
  <c r="G12" i="4"/>
  <c r="H12" i="4"/>
  <c r="I12" i="4"/>
  <c r="G13" i="4"/>
  <c r="H13" i="4"/>
  <c r="I13" i="4"/>
  <c r="G14" i="4"/>
  <c r="H14" i="4"/>
  <c r="I14" i="4"/>
  <c r="G15" i="4"/>
  <c r="H15" i="4"/>
  <c r="I15" i="4"/>
  <c r="G16" i="4"/>
  <c r="H16" i="4"/>
  <c r="I16" i="4"/>
  <c r="G17" i="4"/>
  <c r="H17" i="4"/>
  <c r="I17" i="4"/>
  <c r="G18" i="4"/>
  <c r="H18" i="4"/>
  <c r="I18" i="4"/>
  <c r="G24" i="4"/>
  <c r="H24" i="4"/>
  <c r="I24" i="4"/>
  <c r="G25" i="4"/>
  <c r="H25" i="4"/>
  <c r="I25" i="4"/>
  <c r="G26" i="4"/>
  <c r="H26" i="4"/>
  <c r="I26" i="4"/>
  <c r="G27" i="4"/>
  <c r="H27" i="4"/>
  <c r="I27" i="4"/>
  <c r="G28" i="4"/>
  <c r="H28" i="4"/>
  <c r="I28" i="4"/>
  <c r="G29" i="4"/>
  <c r="H29" i="4"/>
  <c r="I29" i="4"/>
  <c r="G30" i="4"/>
  <c r="H30" i="4"/>
  <c r="I30" i="4"/>
  <c r="G31" i="4"/>
  <c r="H31" i="4"/>
  <c r="I31" i="4"/>
  <c r="G32" i="4"/>
  <c r="H32" i="4"/>
  <c r="I32" i="4"/>
  <c r="G33" i="4"/>
  <c r="H33" i="4"/>
  <c r="I33" i="4"/>
  <c r="H7" i="4"/>
  <c r="I7" i="4"/>
  <c r="G7" i="4"/>
  <c r="A31" i="4"/>
  <c r="A20" i="4"/>
  <c r="G20" i="4" s="1"/>
  <c r="A21" i="4"/>
  <c r="G21" i="4" s="1"/>
  <c r="A22" i="4"/>
  <c r="G22" i="4" s="1"/>
  <c r="A19" i="4"/>
  <c r="G19" i="4" s="1"/>
  <c r="A14" i="4"/>
  <c r="A15" i="4"/>
  <c r="A16" i="4"/>
  <c r="A13" i="4"/>
  <c r="A9" i="4"/>
  <c r="G9" i="4" s="1"/>
  <c r="A10" i="4"/>
  <c r="A11" i="4"/>
  <c r="A8" i="4"/>
  <c r="I8" i="4" s="1"/>
  <c r="G9" i="5" l="1"/>
  <c r="G7" i="5"/>
  <c r="H9" i="5"/>
  <c r="H7" i="5"/>
  <c r="I9" i="5"/>
  <c r="G21" i="5"/>
  <c r="I7" i="5"/>
  <c r="G17" i="5"/>
  <c r="G19" i="5"/>
  <c r="G8" i="5"/>
  <c r="G15" i="5"/>
  <c r="H17" i="5"/>
  <c r="H19" i="5"/>
  <c r="H8" i="5"/>
  <c r="H15" i="5"/>
  <c r="I19" i="5"/>
  <c r="H10" i="5"/>
  <c r="I27" i="1"/>
  <c r="H38" i="1"/>
  <c r="I25" i="1"/>
  <c r="G38" i="1"/>
  <c r="H27" i="1"/>
  <c r="I29" i="1"/>
  <c r="G12" i="1"/>
  <c r="H53" i="1"/>
  <c r="H45" i="1"/>
  <c r="H29" i="1"/>
  <c r="H12" i="1"/>
  <c r="G24" i="1"/>
  <c r="I47" i="1"/>
  <c r="I39" i="1"/>
  <c r="G29" i="1"/>
  <c r="H39" i="1"/>
  <c r="I24" i="1"/>
  <c r="G47" i="1"/>
  <c r="H44" i="1"/>
  <c r="G39" i="1"/>
  <c r="H28" i="1"/>
  <c r="G23" i="1"/>
  <c r="H23" i="1"/>
  <c r="I16" i="1"/>
  <c r="G16" i="1"/>
  <c r="G15" i="1"/>
  <c r="H15" i="1"/>
  <c r="G13" i="1"/>
  <c r="I13" i="1"/>
  <c r="H9" i="1"/>
  <c r="G7" i="1"/>
  <c r="G57" i="1" s="1"/>
  <c r="H7" i="1"/>
  <c r="H57" i="1" s="1"/>
  <c r="H8" i="1"/>
  <c r="I7" i="1"/>
  <c r="I8" i="1"/>
  <c r="I23" i="4"/>
  <c r="I35" i="4" s="1"/>
  <c r="H23" i="4"/>
  <c r="G23" i="4"/>
  <c r="G36" i="4" s="1"/>
  <c r="G37" i="4" s="1"/>
  <c r="I22" i="4"/>
  <c r="H22" i="4"/>
  <c r="H35" i="4" s="1"/>
  <c r="H36" i="4" s="1"/>
  <c r="H37" i="4" s="1"/>
  <c r="I21" i="4"/>
  <c r="H21" i="4"/>
  <c r="I20" i="4"/>
  <c r="H20" i="4"/>
  <c r="I19" i="4"/>
  <c r="H19" i="4"/>
  <c r="I9" i="4"/>
  <c r="H9" i="4"/>
  <c r="I27" i="5" l="1"/>
  <c r="I28" i="5" s="1"/>
  <c r="I29" i="5" s="1"/>
  <c r="H27" i="5"/>
  <c r="H28" i="5" s="1"/>
  <c r="H29" i="5" s="1"/>
  <c r="G27" i="5"/>
  <c r="G28" i="5" s="1"/>
  <c r="G29" i="5" s="1"/>
  <c r="I57" i="1"/>
  <c r="G58" i="1"/>
  <c r="G59" i="1" s="1"/>
  <c r="H58" i="1"/>
  <c r="H59" i="1" s="1"/>
  <c r="I58" i="1"/>
  <c r="I59" i="1" s="1"/>
  <c r="AJ9"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Jugan, Konstantin [AUTOSOL/FLMC/LAAT]</author>
  </authors>
  <commentList>
    <comment ref="C37" authorId="0" shapeId="0" xr:uid="{7371805E-841A-4123-9C42-36ABE2C03CF8}">
      <text>
        <r>
          <rPr>
            <b/>
            <sz val="9"/>
            <color indexed="81"/>
            <rFont val="Segoe UI"/>
            <family val="2"/>
          </rPr>
          <t>Jugan, Konstantin [AUTOSOL/FLMC/LAAT]:</t>
        </r>
        <r>
          <rPr>
            <sz val="9"/>
            <color indexed="81"/>
            <rFont val="Segoe UI"/>
            <family val="2"/>
          </rPr>
          <t xml:space="preserve">
Nach 642.284 Zyklen (entspricht 244 km) wurde Nr. 2 gestoppt, da die lauten Geräusche weiterhin auftraten und das Nachschmieren keine Verbesserung brachte.
Analyse/Ergebniss
Am Festlager wurde Korrosion.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Jugan, Konstantin [AUTOSOL/FLMC/LAAT]</author>
  </authors>
  <commentList>
    <comment ref="C37" authorId="0" shapeId="0" xr:uid="{CC031DE7-B015-4507-BB0F-AEF20E308380}">
      <text>
        <r>
          <rPr>
            <b/>
            <sz val="9"/>
            <color indexed="81"/>
            <rFont val="Segoe UI"/>
            <family val="2"/>
          </rPr>
          <t>Jugan, Konstantin [AUTOSOL/FLMC/LAAT]:</t>
        </r>
        <r>
          <rPr>
            <sz val="9"/>
            <color indexed="81"/>
            <rFont val="Segoe UI"/>
            <family val="2"/>
          </rPr>
          <t xml:space="preserve">
Nach 642.284 Zyklen (entspricht 244 km) wurde Nr. 2 gestoppt, da die lauten Geräusche weiterhin auftraten und das Nachschmieren keine Verbesserung brachte.
Analyse/Ergebniss
Am Festlager wurde Korrosion.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Jugan, Konstantin [AUTOSOL/FLMC/LAAT]</author>
  </authors>
  <commentList>
    <comment ref="C73" authorId="0" shapeId="0" xr:uid="{44F2B3EE-368C-4B42-A06F-CD14493711D9}">
      <text>
        <r>
          <rPr>
            <b/>
            <sz val="9"/>
            <color indexed="81"/>
            <rFont val="Segoe UI"/>
            <family val="2"/>
          </rPr>
          <t>Jugan, Konstantin [AUTOSOL/FLMC/LAAT]:</t>
        </r>
        <r>
          <rPr>
            <sz val="9"/>
            <color indexed="81"/>
            <rFont val="Segoe UI"/>
            <family val="2"/>
          </rPr>
          <t xml:space="preserve">
Befund und Maßnahmen am Aktuator Nr. 1 und Nr. 3
Festgestellter Zustand:
Die Kontermutter an der Kolbenstange zur H-Führung bei Aktuator Nr. 1 und Nr. 3 hat sich gelöst.
Auswirkung:
Durch das Lösen der Kontermutter hat sich der Hub verstellt.
Durchgeführte Maßnahme:
Die Kontermutter wurde nachgezogen. Dabei wurde die Kolbenstange um ca. 1 mm mitgedreht.
Nächste Schritte / Analyse:
Es wird derzeit überprüft, ob alle Komponenten weiterhin funktionsfähig und unbeschädigt sind.
Ergebnis / Kommentar:
Die Untersuchung mittels Endoskopkamera sowie die Funktionsfahrt unter aktuellem Lastenprofil (ohne Last) haben gezeigt, dass Aktuator Nr. 3 funktioniert. 
Der Dauerversuch Nr. 3 wird fortgesetzt 12.11.2025.
Aktuator Nr. 1 – Geräuschentwicklung:
Seit dem 05.11.2025 treten bei Aktuator Nr. 1 laute Geräusche auf.
Am 11.11.2025 erfolgt eine Analyse, um die Ursache zu bestimmen (Verdacht: H-Führung oder Kugelgewindetrieb).
Ergebnis / Kommentar Aktuator Nr. 1:
Die Schrauben des Antitwist sind abgebrochen. Der Antitwist wurde komplett erneuert und mit neuen Schrauben montiert.
Am Festlager wurde Korrosion sowie metallische Partikel festgestellt.
Der Aktuator Nr. 1 wird zusammengebaut und der Dauerversuch fortgesetzt.
Es wurde festgestellt, dass der Deckel im Aktuatorprofil zu viel Spiel aufweist. Dadurch können die Zuganker beim Anziehen durch die entstehende Torsion zusätzliche Hebelkräften ausgesätzt werden. Infolgedessen verschiebt sich die Axialität zwischen dem Festlager im Boden und dem Deckel um 0,3 mm (gemessen mit einer Messuhr).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Jugan, Konstantin [AUTOSOL/FLMC/LAAT]</author>
  </authors>
  <commentList>
    <comment ref="C11" authorId="0" shapeId="0" xr:uid="{B8725616-ED5A-4381-BB45-A1FE8A9D7178}">
      <text>
        <r>
          <rPr>
            <b/>
            <sz val="9"/>
            <color indexed="81"/>
            <rFont val="Segoe UI"/>
            <family val="2"/>
          </rPr>
          <t>Jugan, Konstantin [AUTOSOL/FLMC/LAAT]:</t>
        </r>
        <r>
          <rPr>
            <sz val="9"/>
            <color indexed="81"/>
            <rFont val="Segoe UI"/>
            <family val="2"/>
          </rPr>
          <t xml:space="preserve">
Nach 642.284 Zyklen (entspricht 244 km) wurde Nr. 2 gestoppt, da die lauten Geräusche weiterhin auftraten und das Nachschmieren keine Verbesserung brachte.
Analyse/Ergebniss
Am Festlager wurde Korrosion.</t>
        </r>
      </text>
    </comment>
  </commentList>
</comments>
</file>

<file path=xl/sharedStrings.xml><?xml version="1.0" encoding="utf-8"?>
<sst xmlns="http://schemas.openxmlformats.org/spreadsheetml/2006/main" count="846" uniqueCount="260">
  <si>
    <t>cycletime</t>
  </si>
  <si>
    <t>sec</t>
  </si>
  <si>
    <t>real stroke</t>
  </si>
  <si>
    <t>mm</t>
  </si>
  <si>
    <t>status</t>
  </si>
  <si>
    <t>full work days</t>
  </si>
  <si>
    <t>Mid Force</t>
  </si>
  <si>
    <t>Max Force</t>
  </si>
  <si>
    <t>Mean Force</t>
  </si>
  <si>
    <t>Cycle</t>
  </si>
  <si>
    <t>Way in km</t>
  </si>
  <si>
    <t>Lifetime</t>
  </si>
  <si>
    <t>Date</t>
  </si>
  <si>
    <t>Time</t>
  </si>
  <si>
    <t>Action</t>
  </si>
  <si>
    <t>no. 1</t>
  </si>
  <si>
    <t>no. 2</t>
  </si>
  <si>
    <t>no. 3</t>
  </si>
  <si>
    <t>D63_1</t>
  </si>
  <si>
    <t>D63_2</t>
  </si>
  <si>
    <t>D63_3</t>
  </si>
  <si>
    <t>Aufnahme Leerlaufmomente</t>
  </si>
  <si>
    <t>run</t>
  </si>
  <si>
    <t>Start Dauerversuch D 63</t>
  </si>
  <si>
    <t>Stopp der Versuche wegen H-Führung (Kunststoffteil am Ende muss nachgearbeitet werden)</t>
  </si>
  <si>
    <t>Start der aller Versuche</t>
  </si>
  <si>
    <t>Start IFM Vibrationssensoren</t>
  </si>
  <si>
    <t>kurzer Stop Versuch 1 wegen seitlicher Verschiebung der H-Führung (seitlicher Stoß, Ausrichtung des Kunststoffteils war notwendig)</t>
  </si>
  <si>
    <t>Start Versuch 1</t>
  </si>
  <si>
    <t>Anpassen Druck Versuch 1</t>
  </si>
  <si>
    <t>10:07-10:25</t>
  </si>
  <si>
    <t>Kurzer Ausfall Datenaufzeichnung wegen DGV</t>
  </si>
  <si>
    <t>08:30:00 - 9:13</t>
  </si>
  <si>
    <t>Anpassen Druck Versuch 1 und korrektur Kunststoffführung wegen klackendem Geräusch</t>
  </si>
  <si>
    <t>Start Versuch 3</t>
  </si>
  <si>
    <t>Anpassen Durck Versuch 3</t>
  </si>
  <si>
    <t>Stopp Versuch 1 und 3</t>
  </si>
  <si>
    <t>Start aller Versuche (Nr2 wurde komplett neu aufgebaut mit altem Sleeve) wegen geräusche</t>
  </si>
  <si>
    <t>Anpassung aller Drücke</t>
  </si>
  <si>
    <t>Ausstellen Versuch 3 wegen lautem Geräusch</t>
  </si>
  <si>
    <t>10:07:00 - 10:16</t>
  </si>
  <si>
    <t>Versuch 2 kurzer Stopp mit Neupositionierung und Druckanpassung</t>
  </si>
  <si>
    <t>Start Versuch 2</t>
  </si>
  <si>
    <t>bis 15:10</t>
  </si>
  <si>
    <t xml:space="preserve">Anpassen der Drücke </t>
  </si>
  <si>
    <t>Versuch 3 mit reduzierter Geschwindigkeit gestartet (300 mm/s -&gt; 150 mm/s)</t>
  </si>
  <si>
    <t>Stoppen Versuch 3 bei 165930 und auswechseln Nr. 15 Inline gegen Nr16 inline mit neuem sleeve design</t>
  </si>
  <si>
    <t>Austausch Nr. 14 parallel gegen Nr. 17 mit neuem Sleeve design bei 328984</t>
  </si>
  <si>
    <t>Nachfetten Nr 13</t>
  </si>
  <si>
    <t>Sum</t>
  </si>
  <si>
    <t>Reduzierung der Kraft</t>
  </si>
  <si>
    <t>7-8:20</t>
  </si>
  <si>
    <t>Umbau Entlueftung 63er mit anpassen der Kunststoffhalterungen an H Führung</t>
  </si>
  <si>
    <t>Starten der ifm Vibrationssensoren D63</t>
  </si>
  <si>
    <t>SPS update</t>
  </si>
  <si>
    <t>14:45- 16:37</t>
  </si>
  <si>
    <t>Stopp D63 für Ergänzung der Nachschmierung 44189 16,8 km rauhes Geräusch beim Inline festgestellt</t>
  </si>
  <si>
    <t>stop</t>
  </si>
  <si>
    <t>stopp der Aufzeichnung für Backup</t>
  </si>
  <si>
    <t>Synchronisation</t>
  </si>
  <si>
    <t>Umstellung der Dauerversuche auf NAS2</t>
  </si>
  <si>
    <t>Einstellen Beschleunigung von 833 auf 10000</t>
  </si>
  <si>
    <t>Aktuator D63 Versuch 2 beim Stop ist gegen block gefahren (Ursache Task Beschleunigung zum Entschleunigen zu gering) Bewegung nicht mehr möglich gewesen,demontage und manuelle Drehung notwendig, Riemenspannung liegt bei 135 Hz</t>
  </si>
  <si>
    <t>Korrektur der Beschleunigung für Safetytask und Verringerung der Pausenzeit von gesamt 6 s auf 1 s</t>
  </si>
  <si>
    <t>umstellen Pausen Gesammtzeit von 1s auf 2,5 s wegen Temperaturanstieg</t>
  </si>
  <si>
    <t>umstellen des Stroms von 5 A auf 5,5 A</t>
  </si>
  <si>
    <t>Stopp Versuch 3 wegen erhöhter Geräuschemission</t>
  </si>
  <si>
    <t>Stopp Versuch 1 und 2 für Analyse für Versuch 3</t>
  </si>
  <si>
    <t>Start alle Versuche</t>
  </si>
  <si>
    <t>Stopp alle Versuche (Geräuschentwicklung Nr 1 und Nr3)</t>
  </si>
  <si>
    <t>Start Versuch Nr 2</t>
  </si>
  <si>
    <t>Stop all tests</t>
  </si>
  <si>
    <t>working time [h]</t>
  </si>
  <si>
    <t>cycles</t>
  </si>
  <si>
    <t>total travel [km]</t>
  </si>
  <si>
    <t>Leerlaufmomente D63 bei 200 u/min</t>
  </si>
  <si>
    <t>Start der Versuche mit Nr 7(neu P10), Nr 2(alt P5) und Nr 8 (neu P10)</t>
  </si>
  <si>
    <t>Start Ifm vibration</t>
  </si>
  <si>
    <t>Stopp und Ausbau Versuch Nr 8 wegen erhöhter Kuppungsvibration</t>
  </si>
  <si>
    <t>Start Nr.8 mit neuem Kupplungselastomer und angepaster Motorflanschplatte</t>
  </si>
  <si>
    <t>Stopp Versuch Nr.2</t>
  </si>
  <si>
    <t>Ausbau No. 2: Hub 200, Pitch 5 wird getauscht gegen Pitch 10</t>
  </si>
  <si>
    <t>D32_1</t>
  </si>
  <si>
    <t>D32_2</t>
  </si>
  <si>
    <t>D32_3</t>
  </si>
  <si>
    <t>D32 Start mit halber Kraft</t>
  </si>
  <si>
    <t>Erhöhung der Beschleunigung von 833 auf 10000 mm/s2</t>
  </si>
  <si>
    <t>Stopp Versuch 3 wegen Umbau Führung der Kolbenstange</t>
  </si>
  <si>
    <t>Start</t>
  </si>
  <si>
    <t>Einstellen Druck von 5 bar auf 9,1 bar 1800 N</t>
  </si>
  <si>
    <t>Druckanpassung auf 9.20 bar</t>
  </si>
  <si>
    <t>Verringern der Pausenszeit von gesammt 6 s auf 1 s</t>
  </si>
  <si>
    <t>Korrektur der Beschleunigung für Safetytask</t>
  </si>
  <si>
    <t>umstellen Pausen Gesamtzeit von 1s auf 3 s wegen Temperaturanstieg</t>
  </si>
  <si>
    <t>umstellen des Stroms von 4 A auf 4,5 A</t>
  </si>
  <si>
    <t xml:space="preserve"> 8:36</t>
  </si>
  <si>
    <t>Umstellen der Ventilschaltposition aller 32er Versuche von 189,5 auf 189,450 wegen sporades nicht Schalten des Ventils an Versuch 1</t>
  </si>
  <si>
    <t>ändern Ventilschaltposition von 189,450 auf 189,250 für Versuch 1</t>
  </si>
  <si>
    <t>ändern Stromlimit von 4,5A auf 4A</t>
  </si>
  <si>
    <t>Druckreduzierung auf 2 kN</t>
  </si>
  <si>
    <t>Start Versuch 1 Wegen Ausfall Stromlimit und sync Ablauf</t>
  </si>
  <si>
    <t>Anpassung Dämpfung in Richtung Erhöhung des Dämpfungsdrucks</t>
  </si>
  <si>
    <t>set current Limit from 4.5 to 4 A</t>
  </si>
  <si>
    <t>Nr1 Actuator blocked in movement</t>
  </si>
  <si>
    <t>Start Nr2 and Nr3</t>
  </si>
  <si>
    <t>Start Nr1</t>
  </si>
  <si>
    <t>Stop Nr1</t>
  </si>
  <si>
    <t>Force Test 32er (Data stored in Funktion Test and endurance test)</t>
  </si>
  <si>
    <t>Analyse Nr1</t>
  </si>
  <si>
    <t>Leerlaufmoment D32 V3</t>
  </si>
  <si>
    <t>Leerlaufmoment D32 V1</t>
  </si>
  <si>
    <t>D100_1</t>
  </si>
  <si>
    <t>D100_2</t>
  </si>
  <si>
    <t>D100_3</t>
  </si>
  <si>
    <t>Start all tests with reduced force</t>
  </si>
  <si>
    <t xml:space="preserve">Start Ifm Vibration </t>
  </si>
  <si>
    <t>Setting up pressure level for all tests</t>
  </si>
  <si>
    <t>Cycle per day:</t>
  </si>
  <si>
    <t>Cycle per minute:</t>
  </si>
  <si>
    <t>Stop of D100_3 due overshot of pressure level (PLC emergency stop)</t>
  </si>
  <si>
    <t>Stop all tests (IFM sensors of D100_2 was loose and on D100_3 nearly loose</t>
  </si>
  <si>
    <t>Start only D100_3</t>
  </si>
  <si>
    <t>Start IFM vibration sensor</t>
  </si>
  <si>
    <t>Stop of D100_3 (implement plastic rod holder on H-guilding)</t>
  </si>
  <si>
    <t>Start all tests</t>
  </si>
  <si>
    <t>Start IFM Sensors for D100_1 and D100_2</t>
  </si>
  <si>
    <t>push up and tighten the screws of the plastic holder (short partial stop of single tests)</t>
  </si>
  <si>
    <t>Stop all tests for NAS backup</t>
  </si>
  <si>
    <t>Start all tests with IFM vibration sensors</t>
  </si>
  <si>
    <t>synchronise cycle</t>
  </si>
  <si>
    <t>9:20-9:33</t>
  </si>
  <si>
    <t>SPS Update</t>
  </si>
  <si>
    <t>15:04- 15:07</t>
  </si>
  <si>
    <t>Drive 1 Auslesen Bewegungsprofil (Kurzzeitige störrung der daten)</t>
  </si>
  <si>
    <t>7:10- 7:45</t>
  </si>
  <si>
    <t>Versuch Pause zu entfernen (nicht möglich wegen Druckschwankungen)</t>
  </si>
  <si>
    <t>Nachstellen 100er Drossel</t>
  </si>
  <si>
    <t>Kurzer Update Messrack</t>
  </si>
  <si>
    <t>8-8:40</t>
  </si>
  <si>
    <t>Umbau 100er Entlüftung</t>
  </si>
  <si>
    <t>synchronise cycle (Temperatursensor Aktuator 1 zeigt falsche Werte)</t>
  </si>
  <si>
    <t>Drive Daten nicht plausibel wegen Skript Beschädigung für 10 min</t>
  </si>
  <si>
    <t>Stopp wegen Test mit Druckregler Start xxx</t>
  </si>
  <si>
    <t>D100 Stopp wegen Test mit durckregler</t>
  </si>
  <si>
    <t>Einstellen Beschleunigung von 1666 auf 10000</t>
  </si>
  <si>
    <t>Stopp für Volumenumbau</t>
  </si>
  <si>
    <t>Start mit angepasstem Druck</t>
  </si>
  <si>
    <t>Stop all tests (Nr3 Geräuschemission)</t>
  </si>
  <si>
    <t>Start Nr 2 und Nr1</t>
  </si>
  <si>
    <t>Analyse Nr3</t>
  </si>
  <si>
    <t>Leerlaufmomente alle D100</t>
  </si>
  <si>
    <t>Start aller D100er</t>
  </si>
  <si>
    <t>Hinzufügen Infrarotsensor Temperaturmessung auf Spindel Inline D100</t>
  </si>
  <si>
    <t>Synchronisation Versuche D100 (Erhöhte Geräuschemisssion Versuch D100 V1)</t>
  </si>
  <si>
    <t>Start IFM Vibrationssensoren für alle D100</t>
  </si>
  <si>
    <t>D100 V3 Temperatursensor Festlager lose, wurde wieder befestigt</t>
  </si>
  <si>
    <t>Stopp aller Versuche wegen Nachfetten</t>
  </si>
  <si>
    <t>Leerlauf warm (ohne nachfetten)</t>
  </si>
  <si>
    <t>Leerlauf abgekühlt (V1 und V2 nachgeschmiert)</t>
  </si>
  <si>
    <t>Start Dauerversuch</t>
  </si>
  <si>
    <t>Stopp Versuch 3 für Nachschmieren</t>
  </si>
  <si>
    <t>Versuch gestoppt. (Dauerversuchsraum P10) Nr. 1 = 603 km &amp; Nr. 3 = 566 km</t>
  </si>
  <si>
    <t xml:space="preserve">Nr. 3 läuft </t>
  </si>
  <si>
    <t>Start Nr 2 und 3</t>
  </si>
  <si>
    <t>Einstellen Nullpunkt</t>
  </si>
  <si>
    <t>Stopp aller Versuche wegen Stromausfall</t>
  </si>
  <si>
    <t>Starten aller Versuche nach Stromausfall</t>
  </si>
  <si>
    <t>Versuch 3 Stopp wegen desyncronisation (Notaus wegen Drucküberschreitung)</t>
  </si>
  <si>
    <t>Start Versuch 3 und synchronisation der Versuche</t>
  </si>
  <si>
    <t>Kurzer Test Druckverhalten, wenn zwei Aktuatoren Gleichzeitig laufen</t>
  </si>
  <si>
    <t>Stopp aller Versuche für Nachschmieren der H-Führungen (Nr3 hat sich der vordere Zapfen der Kolbenstange gelöst, wurde mit Mittelfest wieder verklebt und Handfest angezogen)</t>
  </si>
  <si>
    <t>Start aller Versuche</t>
  </si>
  <si>
    <t>Nr.3 lösen der Kolebnstangenmutter (Notaus wegen Überdruck)</t>
  </si>
  <si>
    <t>Nr 3 anzeihen der Kolbenstangenmutter und Starten des Versuchs</t>
  </si>
  <si>
    <t>Nr 3 Temperatursensor Motor ausgefallen</t>
  </si>
  <si>
    <t>Nr 3 Temperatursensor Motor wieder gefixt</t>
  </si>
  <si>
    <t>Stopp Nr3: Nachfetten und Untersuchnung leichtes metallisches Geräusch</t>
  </si>
  <si>
    <t>Start Nr 3</t>
  </si>
  <si>
    <t>Nr2. Verschiebung der Wegstrecke um -0,6mm damit gleiches Druckniveau wie Nr1 und 3 erreicht wird</t>
  </si>
  <si>
    <t>Stopp der Versuche für nachschmieren Nr 1</t>
  </si>
  <si>
    <t>Kurzer Stopp aller Versuche wegen möglichen Stromausfalls</t>
  </si>
  <si>
    <t>Stopp aller Versuche (Lebensdauerende)</t>
  </si>
  <si>
    <t>Start Nr 8 und Nr 7</t>
  </si>
  <si>
    <t>Stopp Nr 8 und 7 wegen DGUV Messung Motor-Drive-Schränke</t>
  </si>
  <si>
    <t>Stopp Nr 8 und Nr 7, Anpassung Druckniveaus (Nr7 gegen Anschlag gefahren)</t>
  </si>
  <si>
    <t>Start Nr7 und Nr 8</t>
  </si>
  <si>
    <t>Anpassen Dämpfungsschraube Pneumatik für Nr8 und 7</t>
  </si>
  <si>
    <t>Aufnahme Leerlaufmomente Nr 9 in Versuchsstand 2</t>
  </si>
  <si>
    <t>Start Nr 9</t>
  </si>
  <si>
    <t>Nr 9 anpassen der Beschleunigung von 2000 auf 1000</t>
  </si>
  <si>
    <t>Anpassung Druckniveau an der Hauptversorgung</t>
  </si>
  <si>
    <t>Druckkorrigierung</t>
  </si>
  <si>
    <t>Anpassung Reihenfolge Motion task (keine Auswirkungen auf Aktuatorablauf)</t>
  </si>
  <si>
    <t>Ausbau Nr.7 wegen loser Kolbenstange</t>
  </si>
  <si>
    <t>Ausbau Nr.8 wegen prevention loser Kolbenstange</t>
  </si>
  <si>
    <t>Druckanpassung für Versuch 2</t>
  </si>
  <si>
    <t>Stopp Versuch 2 für Umbau Kunststoffteil H-Führung</t>
  </si>
  <si>
    <t>Start der drei Versuche mit neuem Kunststoffteil für alle Versuche (alle Kolbenstangen sind korrigiert.) Alle Parameter sind gleich: 7kN, Pause 2s/0,5s</t>
  </si>
  <si>
    <t>Ändern der Pausenzeit von 2s auf 1s für alle Versuche</t>
  </si>
  <si>
    <t>13:55 bis 14:10</t>
  </si>
  <si>
    <t>Kurze Abtestung der Ausrichtung Pneumatikzylinder zu Elektrozylinder</t>
  </si>
  <si>
    <t>Temperatursensor Motor Versuch 3 abgefallen</t>
  </si>
  <si>
    <t>Temperatursensor Motor Versuch 3 wieder fixiert</t>
  </si>
  <si>
    <t>Ändern der Pausenzeit von 1s auf 0,5s für alle Versuche</t>
  </si>
  <si>
    <t>Synchronisierung</t>
  </si>
  <si>
    <t>15:03-15:05</t>
  </si>
  <si>
    <t>Fehlerhafte Aufzeichnung D63 Nr 3</t>
  </si>
  <si>
    <t>Neustarten Vibrationssensor ADXL Versuch 1 wegen hängenbleiber</t>
  </si>
  <si>
    <t>Nachgefettet Ø100 Nr.2 1000km</t>
  </si>
  <si>
    <t>Stopp aller Versuche zum Nachschmieren Versuch 1 Nr7</t>
  </si>
  <si>
    <t>Stoppen Versuch Nr 3 zum Nachschmieren</t>
  </si>
  <si>
    <t>Start Versuch Nr3</t>
  </si>
  <si>
    <t>Neustarten Vibrationssensor ADXL Versuch 2 wegen hängenbleiber</t>
  </si>
  <si>
    <t>Stopp Versuch 2 für Nachschmieren 523 km</t>
  </si>
  <si>
    <t>Versuch 1 kurzzeitig falsche daten geliefert</t>
  </si>
  <si>
    <t>Alle Versuche kurzzeitig Falsche SPS daten geliefert</t>
  </si>
  <si>
    <t>Sync und anpassung um 0,1 mm nach vorne Versuch 3</t>
  </si>
  <si>
    <t>Sync der Versuche</t>
  </si>
  <si>
    <t>14:53:00-15:16</t>
  </si>
  <si>
    <t>Regreasing Versuch 1 Nr.7 dafür wurden alle Versuche gestoppt</t>
  </si>
  <si>
    <t>12:37-13:02</t>
  </si>
  <si>
    <t>Regreasing Versuch 3 Nr.8 die anderen Versuche liefen dabei weiter</t>
  </si>
  <si>
    <t>Erhöhen Weg um 0,2 bei Versuch 7, damit dieser den max druck erreicht</t>
  </si>
  <si>
    <t>Aufnahme Leerlaufmomente aller Versuche</t>
  </si>
  <si>
    <t>Stopp</t>
  </si>
  <si>
    <t>Stopp aller Versuche</t>
  </si>
  <si>
    <t>Nr2 Temperatursensor Motor abgefallen</t>
  </si>
  <si>
    <t>D32 Nr2 Temperatur Motor wieder angebracht</t>
  </si>
  <si>
    <t>D32 Nr2 Ausfall Vibrationssensor ESP32 wurde behoben</t>
  </si>
  <si>
    <t>Umpositionierung des Ventilators, sodass nur die Pneumatik Zylinder gekühlt werden</t>
  </si>
  <si>
    <t>Stopp aller Versuche für nachschmieren 423 km</t>
  </si>
  <si>
    <t>Start aller VErsuche</t>
  </si>
  <si>
    <t>Versuch 2 Motortemperatursensor war ab, wurde wieder angebracht</t>
  </si>
  <si>
    <t>Anbringen Temperatursensor  Motor Versuch 2 weil lose</t>
  </si>
  <si>
    <t>Sync der Versuche und korrektur des Systemdrucks von 8,9 auf 9 bar</t>
  </si>
  <si>
    <t>Einstellen Druck auf 9 bar, da Druck auf 8,6 war</t>
  </si>
  <si>
    <t>Sync</t>
  </si>
  <si>
    <t>sync</t>
  </si>
  <si>
    <t>7:11-7:34</t>
  </si>
  <si>
    <t>Anhalten aller Versuche zum Nachschmieren Antrieb Nr 9</t>
  </si>
  <si>
    <t>Pause wegen Wartung (Wartungseinheit undichtigkeit beseitigt)</t>
  </si>
  <si>
    <t>Druckkorrektur</t>
  </si>
  <si>
    <t>10:27 - 15:12</t>
  </si>
  <si>
    <t>Stoppen des inline Nr 3 Aktuators wegen nachmessen des Inline-Adapters</t>
  </si>
  <si>
    <t>Leichtes verdrehen des Magnetschalters bei Versuch Nr.2</t>
  </si>
  <si>
    <t>Starten Inline Nr3 und Einstellen Druckniveau</t>
  </si>
  <si>
    <t>Sync Druck, Festziehen inline schrauben an die Grundplatte</t>
  </si>
  <si>
    <t>13:25-13:37</t>
  </si>
  <si>
    <t>Druckniveau anpassung</t>
  </si>
  <si>
    <t>Nachfetten Nr 17 V2</t>
  </si>
  <si>
    <t>14:02-14:21</t>
  </si>
  <si>
    <t>Nachfetten aller Versuche</t>
  </si>
  <si>
    <t>14:24-15:03</t>
  </si>
  <si>
    <t>8:33-xxxx</t>
  </si>
  <si>
    <t>Umbau Winkel Versuch 3 (Nr 16)</t>
  </si>
  <si>
    <t>Kurzer Neustart der SPS wegen Störung</t>
  </si>
  <si>
    <t>Falscher Counter wurde korrigiert</t>
  </si>
  <si>
    <t>8:52 bis 9:06</t>
  </si>
  <si>
    <t>8:40 bis 8:52</t>
  </si>
  <si>
    <t>Stopp aller Versuche (Lebensdauerende Nr 7 und 8) Ausfall Nr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</si>
</sst>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0.0"/>
    <numFmt numFmtId="166" formatCode="dd/mm/yy;@"/>
  </numFmts>
  <fonts count="6" x14ac:knownFonts="1">
    <font>
      <sz val="11"/>
      <color theme="1"/>
      <name val="Calibri"/>
      <family val="2"/>
      <scheme val="minor"/>
    </font>
    <font>
      <b/>
      <sz val="11"/>
      <color theme="1"/>
      <name val="Calibri"/>
      <family val="2"/>
      <scheme val="minor"/>
    </font>
    <font>
      <sz val="8"/>
      <color rgb="FF778899"/>
      <name val="Consolas"/>
      <family val="3"/>
    </font>
    <font>
      <sz val="8"/>
      <name val="Calibri"/>
      <family val="2"/>
      <scheme val="minor"/>
    </font>
    <font>
      <sz val="9"/>
      <color indexed="81"/>
      <name val="Segoe UI"/>
      <family val="2"/>
    </font>
    <font>
      <b/>
      <sz val="9"/>
      <color indexed="81"/>
      <name val="Segoe UI"/>
      <family val="2"/>
    </font>
  </fonts>
  <fills count="5">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FFC000"/>
        <bgColor indexed="64"/>
      </patternFill>
    </fill>
  </fills>
  <borders count="11">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45">
    <xf numFmtId="0" fontId="0" fillId="0" borderId="0" xfId="0"/>
    <xf numFmtId="0" fontId="0" fillId="0" borderId="0" xfId="0" applyAlignment="1">
      <alignment wrapText="1"/>
    </xf>
    <xf numFmtId="0" fontId="0" fillId="0" borderId="2" xfId="0" applyBorder="1"/>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6" xfId="0" applyBorder="1" applyAlignment="1">
      <alignment wrapText="1"/>
    </xf>
    <xf numFmtId="0" fontId="0" fillId="3" borderId="6" xfId="0" applyFill="1" applyBorder="1" applyAlignment="1">
      <alignment wrapText="1"/>
    </xf>
    <xf numFmtId="0" fontId="0" fillId="0" borderId="7" xfId="0" applyBorder="1" applyAlignment="1">
      <alignment wrapText="1"/>
    </xf>
    <xf numFmtId="0" fontId="0" fillId="2" borderId="6" xfId="0" applyFill="1" applyBorder="1" applyAlignment="1">
      <alignment wrapText="1"/>
    </xf>
    <xf numFmtId="0" fontId="0" fillId="4" borderId="6" xfId="0" applyFill="1" applyBorder="1" applyAlignment="1">
      <alignment wrapText="1"/>
    </xf>
    <xf numFmtId="0" fontId="2" fillId="0" borderId="0" xfId="0" applyFont="1" applyAlignment="1">
      <alignment vertical="center"/>
    </xf>
    <xf numFmtId="14" fontId="0" fillId="0" borderId="6" xfId="0" applyNumberFormat="1" applyBorder="1"/>
    <xf numFmtId="0" fontId="1" fillId="0" borderId="8" xfId="0" applyFont="1" applyBorder="1" applyAlignment="1">
      <alignment horizontal="center" wrapText="1"/>
    </xf>
    <xf numFmtId="0" fontId="1" fillId="0" borderId="9" xfId="0" applyFont="1" applyBorder="1" applyAlignment="1">
      <alignment horizontal="center"/>
    </xf>
    <xf numFmtId="0" fontId="1" fillId="0" borderId="8" xfId="0" applyFont="1" applyBorder="1" applyAlignment="1">
      <alignment horizontal="center"/>
    </xf>
    <xf numFmtId="20" fontId="0" fillId="0" borderId="6" xfId="0" applyNumberFormat="1" applyBorder="1"/>
    <xf numFmtId="20" fontId="0" fillId="0" borderId="6" xfId="0" applyNumberFormat="1" applyBorder="1" applyAlignment="1">
      <alignment wrapText="1"/>
    </xf>
    <xf numFmtId="0" fontId="1" fillId="0" borderId="8" xfId="0" applyFont="1" applyBorder="1"/>
    <xf numFmtId="20" fontId="0" fillId="0" borderId="1" xfId="0" applyNumberFormat="1" applyBorder="1"/>
    <xf numFmtId="20" fontId="0" fillId="0" borderId="1" xfId="0" applyNumberFormat="1" applyBorder="1" applyAlignment="1">
      <alignment wrapText="1"/>
    </xf>
    <xf numFmtId="0" fontId="1" fillId="0" borderId="10" xfId="0" applyFont="1" applyBorder="1" applyAlignment="1">
      <alignment horizontal="center"/>
    </xf>
    <xf numFmtId="0" fontId="1" fillId="0" borderId="0" xfId="0" applyFont="1" applyAlignment="1">
      <alignment horizontal="center"/>
    </xf>
    <xf numFmtId="164" fontId="0" fillId="0" borderId="6" xfId="0" applyNumberFormat="1" applyBorder="1"/>
    <xf numFmtId="164" fontId="0" fillId="0" borderId="0" xfId="0" applyNumberFormat="1"/>
    <xf numFmtId="164" fontId="0" fillId="0" borderId="6" xfId="0" applyNumberFormat="1" applyBorder="1" applyAlignment="1">
      <alignment horizontal="right" wrapText="1"/>
    </xf>
    <xf numFmtId="164" fontId="0" fillId="0" borderId="1" xfId="0" applyNumberFormat="1" applyBorder="1"/>
    <xf numFmtId="0" fontId="1" fillId="0" borderId="9" xfId="0" applyFont="1" applyBorder="1" applyAlignment="1">
      <alignment horizontal="center" wrapText="1"/>
    </xf>
    <xf numFmtId="1" fontId="0" fillId="0" borderId="1" xfId="0" applyNumberFormat="1" applyBorder="1"/>
    <xf numFmtId="0" fontId="0" fillId="0" borderId="1" xfId="0" applyBorder="1" applyAlignment="1">
      <alignment wrapText="1"/>
    </xf>
    <xf numFmtId="0" fontId="0" fillId="0" borderId="6" xfId="0" applyBorder="1" applyAlignment="1">
      <alignment horizontal="right"/>
    </xf>
    <xf numFmtId="0" fontId="1" fillId="0" borderId="6" xfId="0" applyFont="1" applyBorder="1" applyAlignment="1">
      <alignment wrapText="1"/>
    </xf>
    <xf numFmtId="0" fontId="1" fillId="0" borderId="6" xfId="0" applyFont="1" applyBorder="1" applyAlignment="1">
      <alignment horizontal="right"/>
    </xf>
    <xf numFmtId="165" fontId="1" fillId="0" borderId="1" xfId="0" applyNumberFormat="1" applyFont="1" applyBorder="1" applyAlignment="1">
      <alignment wrapText="1"/>
    </xf>
    <xf numFmtId="166" fontId="0" fillId="0" borderId="6" xfId="0" applyNumberFormat="1" applyBorder="1"/>
    <xf numFmtId="164" fontId="0" fillId="0" borderId="6" xfId="0" applyNumberFormat="1" applyBorder="1" applyAlignment="1">
      <alignment horizontal="right"/>
    </xf>
    <xf numFmtId="20" fontId="0" fillId="0" borderId="6" xfId="0" applyNumberFormat="1" applyBorder="1" applyAlignment="1">
      <alignment horizontal="right"/>
    </xf>
    <xf numFmtId="1" fontId="0" fillId="0" borderId="1" xfId="0" applyNumberFormat="1" applyBorder="1" applyAlignment="1">
      <alignment wrapText="1"/>
    </xf>
    <xf numFmtId="14" fontId="0" fillId="0" borderId="0" xfId="0" applyNumberFormat="1"/>
    <xf numFmtId="20" fontId="0" fillId="0" borderId="0" xfId="0" applyNumberFormat="1"/>
    <xf numFmtId="16" fontId="0" fillId="0" borderId="6" xfId="0" applyNumberFormat="1" applyBorder="1"/>
    <xf numFmtId="0" fontId="1" fillId="0" borderId="4"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C9912-E7E3-48F3-80DD-925633EFBC9B}">
  <dimension ref="A2:AA118"/>
  <sheetViews>
    <sheetView zoomScale="90" zoomScaleNormal="90" workbookViewId="0">
      <pane ySplit="5" topLeftCell="A29" activePane="bottomLeft" state="frozen"/>
      <selection pane="bottomLeft" activeCell="C44" sqref="C44"/>
    </sheetView>
  </sheetViews>
  <sheetFormatPr baseColWidth="10" defaultColWidth="9.140625" defaultRowHeight="15" x14ac:dyDescent="0.25"/>
  <cols>
    <col min="1" max="1" width="20.42578125" customWidth="1"/>
    <col min="2" max="2" width="18.140625" customWidth="1"/>
    <col min="3" max="3" width="60.7109375" style="1" customWidth="1"/>
    <col min="4" max="6" width="5.42578125" style="1" bestFit="1" customWidth="1"/>
    <col min="7" max="8" width="7.7109375" style="1" bestFit="1" customWidth="1"/>
    <col min="9" max="9" width="7.7109375" bestFit="1" customWidth="1"/>
    <col min="10" max="10" width="13.85546875" customWidth="1"/>
    <col min="11" max="11" width="12.7109375" customWidth="1"/>
    <col min="16" max="16" width="11.140625" bestFit="1" customWidth="1"/>
  </cols>
  <sheetData>
    <row r="2" spans="1:27" x14ac:dyDescent="0.25">
      <c r="A2" t="s">
        <v>0</v>
      </c>
      <c r="B2" s="1">
        <v>5.65</v>
      </c>
      <c r="C2" t="s">
        <v>1</v>
      </c>
    </row>
    <row r="3" spans="1:27" x14ac:dyDescent="0.25">
      <c r="A3" t="s">
        <v>2</v>
      </c>
      <c r="B3" s="1">
        <f>2*190</f>
        <v>380</v>
      </c>
      <c r="C3" t="s">
        <v>3</v>
      </c>
    </row>
    <row r="4" spans="1:27" x14ac:dyDescent="0.25">
      <c r="D4" s="44" t="s">
        <v>4</v>
      </c>
      <c r="E4" s="44"/>
      <c r="F4" s="44"/>
      <c r="G4" s="44" t="s">
        <v>5</v>
      </c>
      <c r="H4" s="44"/>
      <c r="I4" s="44"/>
      <c r="J4" t="s">
        <v>6</v>
      </c>
      <c r="M4" t="s">
        <v>7</v>
      </c>
      <c r="P4" t="s">
        <v>8</v>
      </c>
      <c r="S4" t="s">
        <v>9</v>
      </c>
      <c r="V4" t="s">
        <v>10</v>
      </c>
      <c r="Y4" t="s">
        <v>11</v>
      </c>
    </row>
    <row r="5" spans="1:27" x14ac:dyDescent="0.25">
      <c r="A5" s="21" t="s">
        <v>12</v>
      </c>
      <c r="B5" s="17" t="s">
        <v>13</v>
      </c>
      <c r="C5" s="16" t="s">
        <v>14</v>
      </c>
      <c r="D5" s="30" t="s">
        <v>15</v>
      </c>
      <c r="E5" s="30" t="s">
        <v>16</v>
      </c>
      <c r="F5" s="30" t="s">
        <v>17</v>
      </c>
      <c r="G5" s="30" t="s">
        <v>15</v>
      </c>
      <c r="H5" s="30" t="s">
        <v>16</v>
      </c>
      <c r="I5" s="30" t="s">
        <v>17</v>
      </c>
      <c r="J5" s="18" t="s">
        <v>18</v>
      </c>
      <c r="K5" s="18" t="s">
        <v>19</v>
      </c>
      <c r="L5" s="18" t="s">
        <v>20</v>
      </c>
      <c r="M5" s="18" t="s">
        <v>18</v>
      </c>
      <c r="N5" s="18" t="s">
        <v>19</v>
      </c>
      <c r="O5" s="18" t="s">
        <v>20</v>
      </c>
      <c r="P5" s="18" t="s">
        <v>18</v>
      </c>
      <c r="Q5" s="18" t="s">
        <v>19</v>
      </c>
      <c r="R5" s="18" t="s">
        <v>20</v>
      </c>
      <c r="S5" s="18" t="s">
        <v>18</v>
      </c>
      <c r="T5" s="18" t="s">
        <v>19</v>
      </c>
      <c r="U5" s="18" t="s">
        <v>20</v>
      </c>
      <c r="V5" s="18" t="s">
        <v>18</v>
      </c>
      <c r="W5" s="18" t="s">
        <v>19</v>
      </c>
      <c r="X5" s="18" t="s">
        <v>20</v>
      </c>
      <c r="Y5" s="18" t="s">
        <v>18</v>
      </c>
      <c r="Z5" s="18" t="s">
        <v>19</v>
      </c>
      <c r="AA5" s="24" t="s">
        <v>20</v>
      </c>
    </row>
    <row r="6" spans="1:27" x14ac:dyDescent="0.25">
      <c r="A6" s="37">
        <v>46065</v>
      </c>
      <c r="B6" s="38">
        <v>0.61250000000000004</v>
      </c>
      <c r="C6" s="9" t="s">
        <v>21</v>
      </c>
      <c r="D6" s="9" t="s">
        <v>22</v>
      </c>
      <c r="E6" s="9" t="s">
        <v>22</v>
      </c>
      <c r="F6" s="9" t="s">
        <v>22</v>
      </c>
      <c r="G6" s="32"/>
      <c r="H6" s="32"/>
      <c r="I6" s="29"/>
      <c r="J6" s="22"/>
      <c r="K6" s="22"/>
      <c r="L6" s="22"/>
      <c r="M6" s="22"/>
      <c r="N6" s="22"/>
      <c r="O6" s="22"/>
      <c r="P6" s="22"/>
      <c r="Q6" s="22"/>
      <c r="R6" s="22"/>
      <c r="S6" s="3"/>
      <c r="U6" s="2"/>
      <c r="V6" s="3"/>
      <c r="X6" s="2"/>
    </row>
    <row r="7" spans="1:27" x14ac:dyDescent="0.25">
      <c r="A7" s="37">
        <v>46065</v>
      </c>
      <c r="B7" s="38">
        <v>0.63749999999999996</v>
      </c>
      <c r="C7" s="9" t="s">
        <v>23</v>
      </c>
      <c r="D7" s="9"/>
      <c r="E7" s="9"/>
      <c r="F7" s="9"/>
      <c r="G7" s="31"/>
      <c r="H7" s="31"/>
      <c r="I7" s="31"/>
      <c r="J7" s="22"/>
      <c r="K7" s="22"/>
      <c r="L7" s="22"/>
      <c r="M7" s="22"/>
      <c r="N7" s="22"/>
      <c r="O7" s="22"/>
      <c r="P7" s="22"/>
      <c r="Q7" s="22"/>
      <c r="R7" s="22"/>
      <c r="S7" s="3"/>
      <c r="U7" s="2"/>
      <c r="V7" s="3"/>
      <c r="X7" s="2"/>
    </row>
    <row r="8" spans="1:27" ht="30" x14ac:dyDescent="0.25">
      <c r="A8" s="37">
        <v>46065</v>
      </c>
      <c r="B8" s="38">
        <v>0.67847222222222225</v>
      </c>
      <c r="C8" s="9" t="s">
        <v>24</v>
      </c>
      <c r="D8" s="9"/>
      <c r="E8" s="9"/>
      <c r="F8" s="9"/>
      <c r="G8" s="31"/>
      <c r="H8" s="31"/>
      <c r="I8" s="31"/>
      <c r="J8" s="22"/>
      <c r="K8" s="22"/>
      <c r="L8" s="22"/>
      <c r="M8" s="22"/>
      <c r="N8" s="22"/>
      <c r="O8" s="22"/>
      <c r="P8" s="22"/>
      <c r="Q8" s="22"/>
      <c r="R8" s="22"/>
      <c r="S8" s="3"/>
      <c r="U8" s="2"/>
      <c r="V8" s="3"/>
      <c r="X8" s="2"/>
    </row>
    <row r="9" spans="1:27" ht="17.25" customHeight="1" x14ac:dyDescent="0.25">
      <c r="A9" s="37">
        <v>46066</v>
      </c>
      <c r="B9" s="38"/>
      <c r="C9" s="9" t="s">
        <v>25</v>
      </c>
      <c r="D9" s="9"/>
      <c r="E9" s="9"/>
      <c r="F9" s="9"/>
      <c r="G9" s="31"/>
      <c r="H9" s="31"/>
      <c r="I9" s="31"/>
      <c r="J9" s="22"/>
      <c r="K9" s="22"/>
      <c r="L9" s="22"/>
      <c r="M9" s="22"/>
      <c r="N9" s="22"/>
      <c r="O9" s="22"/>
      <c r="P9" s="22"/>
      <c r="Q9" s="22"/>
      <c r="R9" s="22"/>
      <c r="S9" s="3"/>
      <c r="U9" s="2"/>
      <c r="V9" s="3"/>
      <c r="X9" s="2"/>
    </row>
    <row r="10" spans="1:27" x14ac:dyDescent="0.25">
      <c r="A10" s="37"/>
      <c r="B10" s="38"/>
      <c r="C10" s="9"/>
      <c r="D10" s="9"/>
      <c r="E10" s="9"/>
      <c r="F10" s="9"/>
      <c r="G10" s="31"/>
      <c r="H10" s="31"/>
      <c r="I10" s="31"/>
      <c r="J10" s="22"/>
      <c r="K10" s="22"/>
      <c r="L10" s="22"/>
      <c r="M10" s="22"/>
      <c r="N10" s="22"/>
      <c r="O10" s="22"/>
      <c r="P10" s="22"/>
      <c r="Q10" s="22"/>
      <c r="R10" s="22"/>
      <c r="S10" s="3"/>
      <c r="U10" s="2"/>
      <c r="V10" s="3"/>
      <c r="X10" s="2"/>
    </row>
    <row r="11" spans="1:27" ht="34.5" customHeight="1" x14ac:dyDescent="0.25">
      <c r="A11" s="37"/>
      <c r="B11" s="38">
        <v>0.69166666666666665</v>
      </c>
      <c r="C11" s="9" t="s">
        <v>26</v>
      </c>
      <c r="D11" s="9"/>
      <c r="E11" s="9"/>
      <c r="F11" s="9"/>
      <c r="G11" s="31"/>
      <c r="H11" s="31"/>
      <c r="I11" s="31"/>
      <c r="J11" s="22"/>
      <c r="K11" s="22"/>
      <c r="L11" s="22"/>
      <c r="M11" s="22"/>
      <c r="N11" s="22"/>
      <c r="O11" s="22"/>
      <c r="P11" s="22"/>
      <c r="Q11" s="22"/>
      <c r="R11" s="22"/>
      <c r="S11" s="3"/>
      <c r="U11" s="2"/>
      <c r="V11" s="3"/>
      <c r="X11" s="2"/>
    </row>
    <row r="12" spans="1:27" ht="34.5" customHeight="1" x14ac:dyDescent="0.25">
      <c r="A12" s="37">
        <v>46069</v>
      </c>
      <c r="B12" s="38">
        <v>0.30902777777777779</v>
      </c>
      <c r="C12" s="9" t="s">
        <v>27</v>
      </c>
      <c r="D12" s="9"/>
      <c r="E12" s="9"/>
      <c r="F12" s="9"/>
      <c r="G12" s="31"/>
      <c r="H12" s="31"/>
      <c r="I12" s="31"/>
      <c r="J12" s="22"/>
      <c r="K12" s="22"/>
      <c r="L12" s="22"/>
      <c r="M12" s="22"/>
      <c r="N12" s="22"/>
      <c r="O12" s="22"/>
      <c r="P12" s="22"/>
      <c r="Q12" s="22"/>
      <c r="R12" s="22"/>
      <c r="S12" s="3"/>
      <c r="U12" s="2"/>
      <c r="V12" s="3"/>
      <c r="X12" s="2"/>
    </row>
    <row r="13" spans="1:27" x14ac:dyDescent="0.25">
      <c r="A13" s="37">
        <v>46072</v>
      </c>
      <c r="B13" s="38">
        <v>0.375</v>
      </c>
      <c r="C13" s="9" t="s">
        <v>28</v>
      </c>
      <c r="D13" s="9"/>
      <c r="E13" s="9"/>
      <c r="F13" s="9"/>
      <c r="G13" s="31"/>
      <c r="H13" s="31"/>
      <c r="I13" s="31"/>
      <c r="J13" s="22"/>
      <c r="K13" s="22"/>
      <c r="L13" s="22"/>
      <c r="M13" s="22"/>
      <c r="N13" s="22"/>
      <c r="O13" s="22"/>
      <c r="P13" s="22"/>
      <c r="Q13" s="22"/>
      <c r="R13" s="22"/>
      <c r="S13" s="3"/>
      <c r="U13" s="2"/>
      <c r="V13" s="3"/>
      <c r="X13" s="2"/>
    </row>
    <row r="14" spans="1:27" x14ac:dyDescent="0.25">
      <c r="A14" s="37"/>
      <c r="B14" s="38">
        <v>0.38472222222222224</v>
      </c>
      <c r="C14" s="9" t="s">
        <v>29</v>
      </c>
      <c r="D14" s="9"/>
      <c r="E14" s="9"/>
      <c r="F14" s="9"/>
      <c r="G14" s="31"/>
      <c r="H14" s="31"/>
      <c r="I14" s="31"/>
      <c r="J14" s="22"/>
      <c r="K14" s="22"/>
      <c r="L14" s="22"/>
      <c r="M14" s="22"/>
      <c r="N14" s="22"/>
      <c r="O14" s="22"/>
      <c r="P14" s="22"/>
      <c r="Q14" s="22"/>
      <c r="R14" s="22"/>
      <c r="S14" s="3"/>
      <c r="U14" s="2"/>
      <c r="V14" s="3"/>
      <c r="X14" s="2"/>
    </row>
    <row r="15" spans="1:27" x14ac:dyDescent="0.25">
      <c r="A15" s="37">
        <v>46084</v>
      </c>
      <c r="B15" s="38" t="s">
        <v>30</v>
      </c>
      <c r="C15" s="9" t="s">
        <v>31</v>
      </c>
      <c r="D15" s="9"/>
      <c r="E15" s="9"/>
      <c r="F15" s="9"/>
      <c r="G15" s="31"/>
      <c r="H15" s="31"/>
      <c r="I15" s="31"/>
      <c r="J15" s="22"/>
      <c r="K15" s="22"/>
      <c r="L15" s="22"/>
      <c r="M15" s="22"/>
      <c r="N15" s="22"/>
      <c r="O15" s="22"/>
      <c r="P15" s="22"/>
      <c r="Q15" s="22"/>
      <c r="R15" s="22"/>
      <c r="S15" s="3"/>
      <c r="U15" s="2"/>
      <c r="V15" s="3"/>
      <c r="X15" s="2"/>
    </row>
    <row r="16" spans="1:27" ht="30" x14ac:dyDescent="0.25">
      <c r="A16" s="37">
        <v>46085</v>
      </c>
      <c r="B16" s="38" t="s">
        <v>32</v>
      </c>
      <c r="C16" s="9" t="s">
        <v>33</v>
      </c>
      <c r="D16" s="9"/>
      <c r="E16" s="9"/>
      <c r="F16" s="9"/>
      <c r="G16" s="31"/>
      <c r="H16" s="31"/>
      <c r="I16" s="31"/>
      <c r="J16" s="22"/>
      <c r="K16" s="22"/>
      <c r="L16" s="22"/>
      <c r="M16" s="22"/>
      <c r="N16" s="22"/>
      <c r="O16" s="22"/>
      <c r="P16" s="22"/>
      <c r="Q16" s="22"/>
      <c r="R16" s="22"/>
      <c r="S16" s="3"/>
      <c r="U16" s="2"/>
      <c r="V16" s="3"/>
      <c r="X16" s="2"/>
    </row>
    <row r="17" spans="1:24" x14ac:dyDescent="0.25">
      <c r="A17" s="37">
        <v>46085</v>
      </c>
      <c r="B17" s="38">
        <v>0.45555555555555555</v>
      </c>
      <c r="C17" s="9" t="s">
        <v>34</v>
      </c>
      <c r="D17" s="9"/>
      <c r="E17" s="9"/>
      <c r="F17" s="9"/>
      <c r="G17" s="31"/>
      <c r="H17" s="31"/>
      <c r="I17" s="31"/>
      <c r="J17" s="23"/>
      <c r="K17" s="23"/>
      <c r="L17" s="23"/>
      <c r="M17" s="23"/>
      <c r="N17" s="23"/>
      <c r="O17" s="23"/>
      <c r="P17" s="23"/>
      <c r="Q17" s="23"/>
      <c r="R17" s="23"/>
      <c r="S17" s="3"/>
      <c r="U17" s="2"/>
      <c r="V17" s="3"/>
      <c r="X17" s="2"/>
    </row>
    <row r="18" spans="1:24" x14ac:dyDescent="0.25">
      <c r="A18" s="37"/>
      <c r="B18" s="28">
        <v>0.50486111111111109</v>
      </c>
      <c r="C18" s="9" t="s">
        <v>35</v>
      </c>
      <c r="D18" s="9"/>
      <c r="E18" s="9"/>
      <c r="F18" s="9"/>
      <c r="G18" s="31"/>
      <c r="H18" s="31"/>
      <c r="I18" s="31"/>
      <c r="J18" s="22"/>
      <c r="K18" s="22"/>
      <c r="L18" s="22"/>
      <c r="M18" s="22"/>
      <c r="N18" s="22"/>
      <c r="O18" s="22"/>
      <c r="P18" s="22"/>
      <c r="Q18" s="22"/>
      <c r="R18" s="22"/>
      <c r="S18" s="3"/>
      <c r="U18" s="2"/>
      <c r="V18" s="3"/>
      <c r="X18" s="2"/>
    </row>
    <row r="19" spans="1:24" x14ac:dyDescent="0.25">
      <c r="A19" s="37">
        <v>46087</v>
      </c>
      <c r="B19" s="38">
        <v>0.35625000000000001</v>
      </c>
      <c r="C19" s="20" t="s">
        <v>36</v>
      </c>
      <c r="D19" s="9"/>
      <c r="E19" s="9"/>
      <c r="F19" s="9"/>
      <c r="G19" s="31"/>
      <c r="H19" s="31"/>
      <c r="I19" s="31"/>
      <c r="J19" s="22"/>
      <c r="K19" s="22"/>
      <c r="L19" s="22"/>
      <c r="M19" s="22"/>
      <c r="N19" s="22"/>
      <c r="O19" s="22"/>
      <c r="P19" s="22"/>
      <c r="Q19" s="22"/>
      <c r="R19" s="22"/>
      <c r="S19" s="3"/>
      <c r="U19" s="2"/>
      <c r="V19" s="3"/>
      <c r="X19" s="2"/>
    </row>
    <row r="20" spans="1:24" ht="30" x14ac:dyDescent="0.25">
      <c r="A20" s="37">
        <v>46087</v>
      </c>
      <c r="B20" s="38">
        <v>0.4513888888888889</v>
      </c>
      <c r="C20" s="20" t="s">
        <v>37</v>
      </c>
      <c r="D20" s="9"/>
      <c r="E20" s="9"/>
      <c r="F20" s="9"/>
      <c r="G20" s="31"/>
      <c r="H20" s="31"/>
      <c r="I20" s="31"/>
      <c r="J20" s="22"/>
      <c r="K20" s="22"/>
      <c r="L20" s="22"/>
      <c r="M20" s="22"/>
      <c r="N20" s="22"/>
      <c r="O20" s="22"/>
      <c r="P20" s="22"/>
      <c r="Q20" s="22"/>
      <c r="R20" s="22"/>
      <c r="S20" s="3"/>
      <c r="U20" s="2"/>
      <c r="V20" s="3"/>
      <c r="X20" s="2"/>
    </row>
    <row r="21" spans="1:24" x14ac:dyDescent="0.25">
      <c r="A21" s="37">
        <v>46087</v>
      </c>
      <c r="B21" s="20">
        <v>0.49652777777777779</v>
      </c>
      <c r="C21" s="9" t="s">
        <v>38</v>
      </c>
      <c r="D21" s="9"/>
      <c r="E21" s="9"/>
      <c r="F21" s="9"/>
      <c r="G21" s="31"/>
      <c r="H21" s="31"/>
      <c r="I21" s="31"/>
      <c r="J21" s="22"/>
      <c r="K21" s="22"/>
      <c r="L21" s="22"/>
      <c r="M21" s="22"/>
      <c r="N21" s="22"/>
      <c r="O21" s="22"/>
      <c r="P21" s="22"/>
      <c r="Q21" s="22"/>
      <c r="R21" s="22"/>
      <c r="S21" s="3"/>
      <c r="U21" s="2"/>
      <c r="V21" s="3"/>
      <c r="X21" s="2"/>
    </row>
    <row r="22" spans="1:24" x14ac:dyDescent="0.25">
      <c r="A22" s="37">
        <v>46087</v>
      </c>
      <c r="B22" s="38">
        <v>0.625</v>
      </c>
      <c r="C22" s="20" t="s">
        <v>39</v>
      </c>
      <c r="D22" s="9"/>
      <c r="E22" s="9"/>
      <c r="F22" s="9"/>
      <c r="G22" s="31"/>
      <c r="H22" s="31"/>
      <c r="I22" s="31"/>
      <c r="J22" s="22"/>
      <c r="K22" s="22"/>
      <c r="L22" s="22"/>
      <c r="M22" s="22"/>
      <c r="N22" s="22"/>
      <c r="O22" s="22"/>
      <c r="P22" s="22"/>
      <c r="Q22" s="22"/>
      <c r="R22" s="22"/>
      <c r="S22" s="3"/>
      <c r="U22" s="2"/>
      <c r="V22" s="3"/>
      <c r="X22" s="2"/>
    </row>
    <row r="23" spans="1:24" ht="30" x14ac:dyDescent="0.25">
      <c r="A23" s="37">
        <v>46090</v>
      </c>
      <c r="B23" s="38" t="s">
        <v>40</v>
      </c>
      <c r="C23" s="9" t="s">
        <v>41</v>
      </c>
      <c r="D23" s="9"/>
      <c r="E23" s="9"/>
      <c r="F23" s="9"/>
      <c r="G23" s="31"/>
      <c r="H23" s="31"/>
      <c r="I23" s="31"/>
      <c r="J23" s="22"/>
      <c r="K23" s="22"/>
      <c r="L23" s="22"/>
      <c r="M23" s="22"/>
      <c r="N23" s="22"/>
      <c r="O23" s="22"/>
      <c r="P23" s="22"/>
      <c r="Q23" s="22"/>
      <c r="R23" s="22"/>
      <c r="S23" s="3"/>
      <c r="U23" s="2"/>
      <c r="V23" s="3"/>
      <c r="X23" s="2"/>
    </row>
    <row r="24" spans="1:24" x14ac:dyDescent="0.25">
      <c r="A24" s="37">
        <v>46094</v>
      </c>
      <c r="B24" s="38"/>
      <c r="C24" s="9" t="s">
        <v>42</v>
      </c>
      <c r="D24" s="9"/>
      <c r="E24" s="9"/>
      <c r="F24" s="9"/>
      <c r="G24" s="31"/>
      <c r="H24" s="31"/>
      <c r="I24" s="31"/>
      <c r="J24" s="22"/>
      <c r="K24" s="22"/>
      <c r="L24" s="22"/>
      <c r="M24" s="22"/>
      <c r="N24" s="22"/>
      <c r="O24" s="22"/>
      <c r="P24" s="22"/>
      <c r="Q24" s="22"/>
      <c r="R24" s="22"/>
      <c r="S24" s="3"/>
      <c r="U24" s="2"/>
      <c r="V24" s="3"/>
      <c r="X24" s="2"/>
    </row>
    <row r="25" spans="1:24" x14ac:dyDescent="0.25">
      <c r="A25" s="37">
        <v>46094</v>
      </c>
      <c r="B25" s="38" t="s">
        <v>43</v>
      </c>
      <c r="C25" s="9" t="s">
        <v>44</v>
      </c>
      <c r="D25" s="9"/>
      <c r="E25" s="9"/>
      <c r="F25" s="9"/>
      <c r="G25" s="31"/>
      <c r="H25" s="31"/>
      <c r="I25" s="31"/>
      <c r="J25" s="22"/>
      <c r="K25" s="22"/>
      <c r="L25" s="22"/>
      <c r="M25" s="22"/>
      <c r="N25" s="22"/>
      <c r="O25" s="22"/>
      <c r="P25" s="22"/>
      <c r="Q25" s="22"/>
      <c r="R25" s="22"/>
      <c r="S25" s="3"/>
      <c r="U25" s="2"/>
      <c r="V25" s="3"/>
      <c r="X25" s="2"/>
    </row>
    <row r="26" spans="1:24" ht="30" x14ac:dyDescent="0.25">
      <c r="A26" s="15">
        <v>46099</v>
      </c>
      <c r="B26" s="26">
        <v>0.65277777777777779</v>
      </c>
      <c r="C26" s="9" t="s">
        <v>45</v>
      </c>
      <c r="D26" s="9"/>
      <c r="E26" s="9"/>
      <c r="F26" s="9"/>
      <c r="G26" s="32"/>
      <c r="H26" s="32"/>
      <c r="I26" s="22"/>
      <c r="J26" s="22"/>
      <c r="K26" s="22"/>
      <c r="L26" s="22"/>
      <c r="M26" s="22"/>
      <c r="N26" s="22"/>
      <c r="O26" s="22"/>
      <c r="P26" s="22"/>
      <c r="Q26" s="22"/>
      <c r="R26" s="22"/>
      <c r="S26" s="3"/>
      <c r="U26" s="2"/>
      <c r="V26" s="3"/>
      <c r="X26" s="2"/>
    </row>
    <row r="27" spans="1:24" ht="30" x14ac:dyDescent="0.25">
      <c r="A27" s="15">
        <v>46105</v>
      </c>
      <c r="B27" s="19">
        <v>0.49791666666666667</v>
      </c>
      <c r="C27" s="9" t="s">
        <v>46</v>
      </c>
      <c r="D27" s="9"/>
      <c r="E27" s="9"/>
      <c r="F27" s="33"/>
      <c r="G27" s="32"/>
      <c r="H27" s="32"/>
      <c r="I27" s="32"/>
      <c r="J27" s="22"/>
      <c r="K27" s="22"/>
      <c r="L27" s="22"/>
      <c r="M27" s="22"/>
      <c r="N27" s="22"/>
      <c r="O27" s="22"/>
      <c r="P27" s="22"/>
      <c r="Q27" s="22"/>
      <c r="R27" s="22"/>
      <c r="S27" s="3"/>
      <c r="U27" s="2"/>
      <c r="V27" s="3"/>
      <c r="X27" s="2"/>
    </row>
    <row r="28" spans="1:24" ht="30" x14ac:dyDescent="0.25">
      <c r="A28" s="15">
        <v>46106</v>
      </c>
      <c r="B28" s="19">
        <v>0.64444444444444449</v>
      </c>
      <c r="C28" s="9" t="s">
        <v>47</v>
      </c>
      <c r="D28" s="9"/>
      <c r="E28" s="9"/>
      <c r="F28" s="33"/>
      <c r="G28" s="32"/>
      <c r="H28" s="32"/>
      <c r="I28" s="32"/>
      <c r="J28" s="22"/>
      <c r="K28" s="22"/>
      <c r="L28" s="22"/>
      <c r="M28" s="22"/>
      <c r="N28" s="22"/>
      <c r="O28" s="22"/>
      <c r="P28" s="22"/>
      <c r="Q28" s="22"/>
      <c r="R28" s="22"/>
      <c r="S28" s="3"/>
      <c r="U28" s="2"/>
      <c r="V28" s="3"/>
      <c r="X28" s="2"/>
    </row>
    <row r="29" spans="1:24" x14ac:dyDescent="0.25">
      <c r="A29" s="15">
        <v>46111</v>
      </c>
      <c r="B29" s="19">
        <v>0.59236111111111112</v>
      </c>
      <c r="C29" s="9" t="s">
        <v>48</v>
      </c>
      <c r="D29" s="34"/>
      <c r="E29" s="34"/>
      <c r="F29" s="35"/>
      <c r="G29" s="36"/>
      <c r="H29" s="36"/>
      <c r="I29" s="36"/>
      <c r="J29" s="22"/>
      <c r="K29" s="22"/>
      <c r="L29" s="22"/>
      <c r="M29" s="22"/>
      <c r="N29" s="22"/>
      <c r="O29" s="22"/>
      <c r="P29" s="22"/>
      <c r="Q29" s="22"/>
      <c r="R29" s="22"/>
      <c r="S29" s="3"/>
      <c r="U29" s="2"/>
      <c r="V29" s="3"/>
      <c r="X29" s="2"/>
    </row>
    <row r="30" spans="1:24" x14ac:dyDescent="0.25">
      <c r="A30" s="15">
        <v>46114</v>
      </c>
      <c r="B30" s="19">
        <v>0.33402777777777776</v>
      </c>
      <c r="C30" s="9" t="s">
        <v>237</v>
      </c>
      <c r="D30" s="9"/>
      <c r="E30" s="9"/>
      <c r="F30" s="9"/>
      <c r="G30" s="32"/>
      <c r="H30" s="32"/>
      <c r="I30" s="3"/>
      <c r="J30" s="22"/>
      <c r="K30" s="22"/>
      <c r="L30" s="22"/>
      <c r="M30" s="22"/>
      <c r="N30" s="22"/>
      <c r="O30" s="22"/>
      <c r="P30" s="22"/>
      <c r="Q30" s="22"/>
      <c r="R30" s="22"/>
      <c r="S30" s="3"/>
      <c r="U30" s="2"/>
      <c r="V30" s="3"/>
      <c r="X30" s="2"/>
    </row>
    <row r="31" spans="1:24" x14ac:dyDescent="0.25">
      <c r="A31" s="15">
        <v>46126</v>
      </c>
      <c r="B31" s="19">
        <v>0.55625000000000002</v>
      </c>
      <c r="C31" s="9" t="s">
        <v>237</v>
      </c>
      <c r="D31" s="9"/>
      <c r="E31" s="9"/>
      <c r="F31" s="9"/>
      <c r="G31" s="32"/>
      <c r="H31" s="32"/>
      <c r="I31" s="3"/>
      <c r="J31" s="3"/>
      <c r="K31" s="3"/>
      <c r="L31" s="3"/>
      <c r="M31" s="3"/>
      <c r="N31" s="3"/>
      <c r="O31" s="3"/>
      <c r="P31" s="3"/>
      <c r="Q31" s="3"/>
      <c r="R31" s="3"/>
      <c r="S31" s="3"/>
      <c r="U31" s="2"/>
      <c r="V31" s="3"/>
      <c r="X31" s="2"/>
    </row>
    <row r="32" spans="1:24" ht="16.5" customHeight="1" x14ac:dyDescent="0.25">
      <c r="A32" s="41">
        <v>46129</v>
      </c>
      <c r="B32" s="42">
        <v>0.40277777777777779</v>
      </c>
      <c r="C32" s="1" t="s">
        <v>237</v>
      </c>
      <c r="D32" s="9"/>
      <c r="E32" s="9"/>
      <c r="F32" s="9"/>
      <c r="G32" s="32"/>
      <c r="H32" s="32"/>
      <c r="I32" s="22"/>
      <c r="J32" s="3"/>
      <c r="K32" s="3"/>
      <c r="L32" s="3"/>
      <c r="M32" s="3"/>
      <c r="N32" s="3"/>
      <c r="O32" s="3"/>
      <c r="P32" s="3"/>
      <c r="Q32" s="3"/>
      <c r="R32" s="3"/>
      <c r="S32" s="3"/>
      <c r="U32" s="2"/>
      <c r="V32" s="3"/>
      <c r="X32" s="2"/>
    </row>
    <row r="33" spans="1:24" x14ac:dyDescent="0.25">
      <c r="A33" s="15">
        <v>46135</v>
      </c>
      <c r="B33" s="19" t="s">
        <v>242</v>
      </c>
      <c r="C33" s="9" t="s">
        <v>240</v>
      </c>
      <c r="D33" s="9"/>
      <c r="E33" s="9"/>
      <c r="F33" s="9"/>
      <c r="G33" s="32"/>
      <c r="H33" s="32"/>
      <c r="I33" s="22"/>
      <c r="J33" s="22"/>
      <c r="K33" s="22"/>
      <c r="L33" s="22"/>
      <c r="M33" s="22"/>
      <c r="N33" s="22"/>
      <c r="O33" s="22"/>
      <c r="P33" s="22"/>
      <c r="Q33" s="22"/>
      <c r="R33" s="22"/>
      <c r="S33" s="3"/>
      <c r="U33" s="2"/>
      <c r="V33" s="3"/>
      <c r="X33" s="2"/>
    </row>
    <row r="34" spans="1:24" ht="17.25" customHeight="1" x14ac:dyDescent="0.25">
      <c r="A34" s="15">
        <v>46135</v>
      </c>
      <c r="B34" s="19">
        <v>0.67708333333333337</v>
      </c>
      <c r="C34" s="9" t="s">
        <v>241</v>
      </c>
      <c r="D34" s="9"/>
      <c r="E34" s="9"/>
      <c r="F34" s="9"/>
      <c r="G34" s="32"/>
      <c r="H34" s="32"/>
      <c r="I34" s="22"/>
      <c r="J34" s="22"/>
      <c r="K34" s="22"/>
      <c r="L34" s="22"/>
      <c r="M34" s="22"/>
      <c r="N34" s="22"/>
      <c r="O34" s="22"/>
      <c r="P34" s="22"/>
      <c r="Q34" s="22"/>
      <c r="R34" s="22"/>
      <c r="S34" s="3"/>
      <c r="U34" s="2"/>
      <c r="V34" s="3"/>
      <c r="X34" s="2"/>
    </row>
    <row r="35" spans="1:24" ht="30" x14ac:dyDescent="0.25">
      <c r="A35" s="15">
        <v>46139</v>
      </c>
      <c r="B35" s="19">
        <v>0.31874999999999998</v>
      </c>
      <c r="C35" s="9" t="s">
        <v>243</v>
      </c>
      <c r="D35" s="9"/>
      <c r="E35" s="9"/>
      <c r="F35" s="9"/>
      <c r="G35" s="32"/>
      <c r="H35" s="32"/>
      <c r="I35" s="22"/>
      <c r="J35" s="22"/>
      <c r="K35" s="22"/>
      <c r="L35" s="22"/>
      <c r="M35" s="22"/>
      <c r="N35" s="22"/>
      <c r="O35" s="22"/>
      <c r="P35" s="22"/>
      <c r="Q35" s="22"/>
      <c r="R35" s="22"/>
      <c r="S35" s="3"/>
      <c r="U35" s="2"/>
      <c r="V35" s="3"/>
      <c r="X35" s="2"/>
    </row>
    <row r="36" spans="1:24" x14ac:dyDescent="0.25">
      <c r="A36" s="15">
        <v>46140</v>
      </c>
      <c r="B36" s="19">
        <v>0.56736111111111109</v>
      </c>
      <c r="C36" s="9" t="s">
        <v>244</v>
      </c>
      <c r="D36" s="9"/>
      <c r="E36" s="9"/>
      <c r="F36" s="9"/>
      <c r="G36" s="32"/>
      <c r="H36" s="32"/>
      <c r="I36" s="22"/>
      <c r="J36" s="22"/>
      <c r="K36" s="22"/>
      <c r="L36" s="22"/>
      <c r="M36" s="22"/>
      <c r="N36" s="22"/>
      <c r="O36" s="22"/>
      <c r="P36" s="22"/>
      <c r="Q36" s="22"/>
      <c r="R36" s="22"/>
      <c r="S36" s="3"/>
      <c r="U36" s="2"/>
      <c r="V36" s="3"/>
      <c r="X36" s="2"/>
    </row>
    <row r="37" spans="1:24" x14ac:dyDescent="0.25">
      <c r="A37" s="15">
        <v>46142</v>
      </c>
      <c r="B37" s="19">
        <v>0.55833333333333335</v>
      </c>
      <c r="C37" s="9" t="s">
        <v>245</v>
      </c>
      <c r="D37" s="9"/>
      <c r="E37" s="9"/>
      <c r="F37" s="9"/>
      <c r="G37" s="32"/>
      <c r="H37" s="32"/>
      <c r="I37" s="22"/>
      <c r="J37" s="22"/>
      <c r="K37" s="22"/>
      <c r="L37" s="22"/>
      <c r="M37" s="22"/>
      <c r="N37" s="22"/>
      <c r="O37" s="22"/>
      <c r="P37" s="22"/>
      <c r="Q37" s="22"/>
      <c r="R37" s="22"/>
      <c r="S37" s="3"/>
      <c r="U37" s="2"/>
      <c r="V37" s="3"/>
      <c r="X37" s="2"/>
    </row>
    <row r="38" spans="1:24" x14ac:dyDescent="0.25">
      <c r="A38" s="15">
        <v>46146</v>
      </c>
      <c r="B38" s="19">
        <v>0.34375</v>
      </c>
      <c r="C38" s="9" t="s">
        <v>246</v>
      </c>
      <c r="D38" s="9"/>
      <c r="E38" s="9"/>
      <c r="F38" s="9"/>
      <c r="G38" s="32"/>
      <c r="H38" s="32"/>
      <c r="I38" s="22"/>
      <c r="J38" s="22"/>
      <c r="K38" s="22"/>
      <c r="L38" s="22"/>
      <c r="M38" s="22"/>
      <c r="N38" s="22"/>
      <c r="O38" s="22"/>
      <c r="P38" s="22"/>
      <c r="Q38" s="22"/>
      <c r="R38" s="22"/>
      <c r="S38" s="3"/>
      <c r="U38" s="2"/>
      <c r="V38" s="3"/>
      <c r="X38" s="2"/>
    </row>
    <row r="39" spans="1:24" x14ac:dyDescent="0.25">
      <c r="A39" s="15">
        <v>46148</v>
      </c>
      <c r="B39" s="19" t="s">
        <v>250</v>
      </c>
      <c r="C39" s="9" t="s">
        <v>249</v>
      </c>
      <c r="D39" s="9"/>
      <c r="E39" s="9"/>
      <c r="F39" s="9"/>
      <c r="G39" s="32"/>
      <c r="H39" s="32"/>
      <c r="I39" s="22"/>
      <c r="J39" s="22"/>
      <c r="K39" s="22"/>
      <c r="L39" s="22"/>
      <c r="M39" s="22"/>
      <c r="N39" s="22"/>
      <c r="O39" s="22"/>
      <c r="P39" s="22"/>
      <c r="Q39" s="22"/>
      <c r="R39" s="22"/>
      <c r="S39" s="3"/>
      <c r="U39" s="2"/>
      <c r="V39" s="3"/>
      <c r="X39" s="2"/>
    </row>
    <row r="40" spans="1:24" x14ac:dyDescent="0.25">
      <c r="A40" s="15">
        <v>46148</v>
      </c>
      <c r="B40" s="19" t="s">
        <v>247</v>
      </c>
      <c r="C40" s="9" t="s">
        <v>248</v>
      </c>
      <c r="D40" s="9"/>
      <c r="E40" s="9"/>
      <c r="F40" s="9"/>
      <c r="G40" s="32"/>
      <c r="H40" s="32"/>
      <c r="I40" s="22"/>
      <c r="J40" s="22"/>
      <c r="K40" s="22"/>
      <c r="L40" s="22"/>
      <c r="M40" s="22"/>
      <c r="N40" s="22"/>
      <c r="O40" s="22"/>
      <c r="P40" s="22"/>
      <c r="Q40" s="22"/>
      <c r="R40" s="22"/>
      <c r="S40" s="3"/>
      <c r="U40" s="2"/>
      <c r="V40" s="3"/>
      <c r="X40" s="2"/>
    </row>
    <row r="41" spans="1:24" x14ac:dyDescent="0.25">
      <c r="A41" s="15">
        <v>46150</v>
      </c>
      <c r="B41" s="26" t="s">
        <v>253</v>
      </c>
      <c r="C41" s="9" t="s">
        <v>254</v>
      </c>
      <c r="D41" s="9"/>
      <c r="E41" s="9"/>
      <c r="F41" s="9"/>
      <c r="G41" s="32"/>
      <c r="H41" s="32"/>
      <c r="I41" s="22"/>
      <c r="J41" s="22"/>
      <c r="K41" s="22"/>
      <c r="L41" s="22"/>
      <c r="M41" s="22"/>
      <c r="N41" s="22"/>
      <c r="O41" s="22"/>
      <c r="P41" s="22"/>
      <c r="Q41" s="22"/>
      <c r="R41" s="22"/>
      <c r="S41" s="3"/>
      <c r="U41" s="2"/>
      <c r="V41" s="3"/>
      <c r="X41" s="2"/>
    </row>
    <row r="42" spans="1:24" x14ac:dyDescent="0.25">
      <c r="A42" s="15">
        <v>46154</v>
      </c>
      <c r="B42" s="26" t="s">
        <v>258</v>
      </c>
      <c r="C42" s="9" t="s">
        <v>255</v>
      </c>
      <c r="D42" s="9"/>
      <c r="E42" s="9"/>
      <c r="F42" s="9"/>
      <c r="G42" s="32"/>
      <c r="H42" s="32"/>
      <c r="I42" s="22"/>
      <c r="J42" s="22"/>
      <c r="K42" s="22"/>
      <c r="L42" s="22"/>
      <c r="M42" s="22"/>
      <c r="N42" s="22"/>
      <c r="O42" s="22"/>
      <c r="P42" s="22"/>
      <c r="Q42" s="22"/>
      <c r="R42" s="22"/>
      <c r="S42" s="3"/>
      <c r="U42" s="2"/>
      <c r="V42" s="3"/>
      <c r="X42" s="2"/>
    </row>
    <row r="43" spans="1:24" x14ac:dyDescent="0.25">
      <c r="A43" s="15">
        <v>46154</v>
      </c>
      <c r="B43" s="19" t="s">
        <v>257</v>
      </c>
      <c r="C43" s="9" t="s">
        <v>256</v>
      </c>
      <c r="D43" s="9"/>
      <c r="E43" s="9"/>
      <c r="F43" s="9"/>
      <c r="G43" s="32"/>
      <c r="H43" s="32"/>
      <c r="I43" s="22"/>
      <c r="J43" s="22"/>
      <c r="K43" s="22"/>
      <c r="L43" s="22"/>
      <c r="M43" s="22"/>
      <c r="N43" s="22"/>
      <c r="O43" s="22"/>
      <c r="P43" s="22"/>
      <c r="Q43" s="22"/>
      <c r="R43" s="22"/>
      <c r="S43" s="3"/>
      <c r="U43" s="2"/>
      <c r="V43" s="3"/>
      <c r="X43" s="2"/>
    </row>
    <row r="44" spans="1:24" x14ac:dyDescent="0.25">
      <c r="A44" s="15"/>
      <c r="B44" s="19"/>
      <c r="C44" s="9"/>
      <c r="D44" s="9"/>
      <c r="E44" s="9"/>
      <c r="F44" s="9"/>
      <c r="G44" s="32"/>
      <c r="H44" s="32"/>
      <c r="I44" s="22"/>
      <c r="J44" s="22"/>
      <c r="K44" s="22"/>
      <c r="L44" s="22"/>
      <c r="M44" s="22"/>
      <c r="N44" s="22"/>
      <c r="O44" s="22"/>
      <c r="P44" s="22"/>
      <c r="Q44" s="22"/>
      <c r="R44" s="22"/>
      <c r="S44" s="3"/>
      <c r="U44" s="2"/>
      <c r="V44" s="3"/>
      <c r="X44" s="2"/>
    </row>
    <row r="45" spans="1:24" x14ac:dyDescent="0.25">
      <c r="A45" s="15"/>
      <c r="B45" s="19"/>
      <c r="C45" s="9"/>
      <c r="D45" s="9"/>
      <c r="E45" s="9"/>
      <c r="F45" s="9"/>
      <c r="G45" s="32"/>
      <c r="H45" s="32"/>
      <c r="I45" s="22"/>
      <c r="J45" s="22"/>
      <c r="K45" s="22"/>
      <c r="L45" s="22"/>
      <c r="M45" s="22"/>
      <c r="N45" s="22"/>
      <c r="O45" s="22"/>
      <c r="P45" s="22"/>
      <c r="Q45" s="22"/>
      <c r="R45" s="22"/>
      <c r="S45" s="3"/>
      <c r="U45" s="2"/>
      <c r="V45" s="3"/>
      <c r="X45" s="2"/>
    </row>
    <row r="46" spans="1:24" x14ac:dyDescent="0.25">
      <c r="A46" s="15"/>
      <c r="B46" s="19"/>
      <c r="C46" s="9"/>
      <c r="D46" s="9"/>
      <c r="E46" s="9"/>
      <c r="F46" s="9"/>
      <c r="G46" s="32"/>
      <c r="H46" s="32"/>
      <c r="I46" s="22"/>
      <c r="J46" s="22"/>
      <c r="K46" s="22"/>
      <c r="L46" s="22"/>
      <c r="M46" s="22"/>
      <c r="N46" s="22"/>
      <c r="O46" s="22"/>
      <c r="P46" s="22"/>
      <c r="Q46" s="22"/>
      <c r="R46" s="22"/>
      <c r="S46" s="3"/>
      <c r="U46" s="2"/>
      <c r="V46" s="3"/>
      <c r="X46" s="2"/>
    </row>
    <row r="47" spans="1:24" x14ac:dyDescent="0.25">
      <c r="A47" s="15"/>
      <c r="B47" s="19"/>
      <c r="C47" s="9"/>
      <c r="D47" s="9"/>
      <c r="E47" s="9"/>
      <c r="F47" s="9"/>
      <c r="G47" s="32"/>
      <c r="H47" s="32"/>
      <c r="I47" s="22"/>
      <c r="J47" s="22"/>
      <c r="K47" s="22"/>
      <c r="L47" s="22"/>
      <c r="M47" s="22"/>
      <c r="N47" s="22"/>
      <c r="O47" s="22"/>
      <c r="P47" s="22"/>
      <c r="Q47" s="22"/>
      <c r="R47" s="22"/>
      <c r="S47" s="3"/>
      <c r="U47" s="2"/>
      <c r="V47" s="3"/>
      <c r="X47" s="2"/>
    </row>
    <row r="48" spans="1:24" x14ac:dyDescent="0.25">
      <c r="A48" s="15"/>
      <c r="B48" s="19"/>
      <c r="C48" s="9"/>
      <c r="D48" s="9"/>
      <c r="E48" s="9"/>
      <c r="F48" s="9"/>
      <c r="G48" s="32"/>
      <c r="H48" s="32"/>
      <c r="I48" s="22"/>
      <c r="J48" s="22"/>
      <c r="K48" s="22"/>
      <c r="L48" s="22"/>
      <c r="M48" s="22"/>
      <c r="N48" s="22"/>
      <c r="O48" s="22"/>
      <c r="P48" s="22"/>
      <c r="Q48" s="22"/>
      <c r="R48" s="22"/>
      <c r="S48" s="3"/>
      <c r="U48" s="2"/>
      <c r="V48" s="3"/>
      <c r="X48" s="2"/>
    </row>
    <row r="49" spans="1:24" x14ac:dyDescent="0.25">
      <c r="A49" s="15"/>
      <c r="B49" s="19"/>
      <c r="C49" s="9"/>
      <c r="D49" s="9"/>
      <c r="E49" s="9"/>
      <c r="F49" s="9"/>
      <c r="G49" s="32"/>
      <c r="H49" s="32"/>
      <c r="I49" s="22"/>
      <c r="J49" s="22"/>
      <c r="K49" s="22"/>
      <c r="L49" s="22"/>
      <c r="M49" s="22"/>
      <c r="N49" s="22"/>
      <c r="O49" s="22"/>
      <c r="P49" s="22"/>
      <c r="Q49" s="22"/>
      <c r="R49" s="22"/>
      <c r="S49" s="3"/>
      <c r="U49" s="2"/>
      <c r="V49" s="3"/>
      <c r="X49" s="2"/>
    </row>
    <row r="50" spans="1:24" x14ac:dyDescent="0.25">
      <c r="A50" s="15"/>
      <c r="B50" s="19"/>
      <c r="C50" s="9"/>
      <c r="D50" s="9"/>
      <c r="E50" s="9"/>
      <c r="F50" s="9"/>
      <c r="G50" s="32"/>
      <c r="H50" s="32"/>
      <c r="I50" s="22"/>
      <c r="J50" s="22"/>
      <c r="K50" s="22"/>
      <c r="L50" s="22"/>
      <c r="M50" s="22"/>
      <c r="N50" s="22"/>
      <c r="O50" s="22"/>
      <c r="P50" s="22"/>
      <c r="Q50" s="22"/>
      <c r="R50" s="22"/>
      <c r="S50" s="3"/>
      <c r="U50" s="2"/>
      <c r="V50" s="3"/>
      <c r="X50" s="2"/>
    </row>
    <row r="51" spans="1:24" x14ac:dyDescent="0.25">
      <c r="A51" s="15"/>
      <c r="B51" s="19"/>
      <c r="C51" s="9"/>
      <c r="D51" s="9"/>
      <c r="E51" s="9"/>
      <c r="F51" s="9"/>
      <c r="G51" s="32"/>
      <c r="H51" s="32"/>
      <c r="I51" s="22"/>
      <c r="J51" s="22"/>
      <c r="K51" s="22"/>
      <c r="L51" s="22"/>
      <c r="M51" s="22"/>
      <c r="N51" s="22"/>
      <c r="O51" s="22"/>
      <c r="P51" s="22"/>
      <c r="Q51" s="22"/>
      <c r="R51" s="22"/>
      <c r="S51" s="3"/>
      <c r="U51" s="2"/>
      <c r="V51" s="3"/>
      <c r="X51" s="2"/>
    </row>
    <row r="52" spans="1:24" x14ac:dyDescent="0.25">
      <c r="A52" s="15"/>
      <c r="B52" s="19"/>
      <c r="C52" s="9"/>
      <c r="D52" s="9"/>
      <c r="E52" s="9"/>
      <c r="F52" s="9"/>
      <c r="G52" s="32"/>
      <c r="H52" s="32"/>
      <c r="I52" s="22"/>
      <c r="J52" s="22"/>
      <c r="K52" s="22"/>
      <c r="L52" s="22"/>
      <c r="M52" s="22"/>
      <c r="N52" s="22"/>
      <c r="O52" s="22"/>
      <c r="P52" s="22"/>
      <c r="Q52" s="22"/>
      <c r="R52" s="22"/>
      <c r="S52" s="3"/>
      <c r="U52" s="2"/>
      <c r="V52" s="3"/>
      <c r="X52" s="2"/>
    </row>
    <row r="53" spans="1:24" x14ac:dyDescent="0.25">
      <c r="A53" s="15"/>
      <c r="B53" s="19"/>
      <c r="C53" s="9"/>
      <c r="D53" s="9"/>
      <c r="E53" s="9"/>
      <c r="F53" s="9"/>
      <c r="G53" s="32"/>
      <c r="H53" s="32"/>
      <c r="I53" s="22"/>
      <c r="J53" s="22"/>
      <c r="K53" s="22"/>
      <c r="L53" s="22"/>
      <c r="M53" s="22"/>
      <c r="N53" s="22"/>
      <c r="O53" s="22"/>
      <c r="P53" s="22"/>
      <c r="Q53" s="22"/>
      <c r="R53" s="22"/>
      <c r="S53" s="3"/>
      <c r="U53" s="2"/>
      <c r="V53" s="3"/>
      <c r="X53" s="2"/>
    </row>
    <row r="54" spans="1:24" x14ac:dyDescent="0.25">
      <c r="A54" s="15"/>
      <c r="B54" s="19"/>
      <c r="C54" s="9"/>
      <c r="D54" s="9"/>
      <c r="E54" s="9"/>
      <c r="F54" s="9"/>
      <c r="G54" s="32"/>
      <c r="H54" s="32"/>
      <c r="I54" s="22"/>
      <c r="J54" s="22"/>
      <c r="K54" s="22"/>
      <c r="L54" s="22"/>
      <c r="M54" s="22"/>
      <c r="N54" s="22"/>
      <c r="O54" s="22"/>
      <c r="P54" s="22"/>
      <c r="Q54" s="22"/>
      <c r="R54" s="22"/>
      <c r="S54" s="3"/>
      <c r="U54" s="2"/>
      <c r="V54" s="3"/>
      <c r="X54" s="2"/>
    </row>
    <row r="55" spans="1:24" x14ac:dyDescent="0.25">
      <c r="A55" s="15"/>
      <c r="B55" s="19"/>
      <c r="C55" s="9"/>
      <c r="D55" s="9"/>
      <c r="E55" s="9"/>
      <c r="F55" s="9"/>
      <c r="G55" s="32"/>
      <c r="H55" s="32"/>
      <c r="I55" s="22"/>
      <c r="J55" s="22"/>
      <c r="K55" s="22"/>
      <c r="L55" s="22"/>
      <c r="M55" s="22"/>
      <c r="N55" s="22"/>
      <c r="O55" s="22"/>
      <c r="P55" s="22"/>
      <c r="Q55" s="22"/>
      <c r="R55" s="22"/>
      <c r="S55" s="3"/>
      <c r="U55" s="2"/>
      <c r="V55" s="3"/>
      <c r="X55" s="2"/>
    </row>
    <row r="56" spans="1:24" x14ac:dyDescent="0.25">
      <c r="A56" s="15"/>
      <c r="B56" s="19"/>
      <c r="C56" s="9"/>
      <c r="D56" s="9"/>
      <c r="E56" s="9"/>
      <c r="F56" s="9"/>
      <c r="G56" s="32"/>
      <c r="H56" s="32"/>
      <c r="I56" s="22"/>
      <c r="J56" s="22"/>
      <c r="K56" s="22"/>
      <c r="L56" s="22"/>
      <c r="M56" s="22"/>
      <c r="N56" s="22"/>
      <c r="O56" s="22"/>
      <c r="P56" s="22"/>
      <c r="Q56" s="22"/>
      <c r="R56" s="22"/>
      <c r="S56" s="3"/>
      <c r="U56" s="2"/>
      <c r="V56" s="3"/>
      <c r="X56" s="2"/>
    </row>
    <row r="57" spans="1:24" x14ac:dyDescent="0.25">
      <c r="A57" s="15"/>
      <c r="B57" s="19"/>
      <c r="C57" s="9"/>
      <c r="D57" s="9"/>
      <c r="E57" s="9"/>
      <c r="F57" s="9"/>
      <c r="G57" s="32"/>
      <c r="H57" s="32"/>
      <c r="I57" s="22"/>
      <c r="J57" s="22"/>
      <c r="K57" s="22"/>
      <c r="L57" s="22"/>
      <c r="M57" s="22"/>
      <c r="N57" s="22"/>
      <c r="O57" s="22"/>
      <c r="P57" s="22"/>
      <c r="Q57" s="22"/>
      <c r="R57" s="22"/>
      <c r="S57" s="3"/>
      <c r="U57" s="2"/>
      <c r="V57" s="3"/>
      <c r="X57" s="2"/>
    </row>
    <row r="58" spans="1:24" x14ac:dyDescent="0.25">
      <c r="A58" s="15"/>
      <c r="B58" s="19"/>
      <c r="C58" s="9"/>
      <c r="D58" s="9"/>
      <c r="E58" s="9"/>
      <c r="F58" s="9"/>
      <c r="G58" s="32"/>
      <c r="H58" s="32"/>
      <c r="I58" s="22"/>
      <c r="J58" s="22"/>
      <c r="K58" s="22"/>
      <c r="L58" s="22"/>
      <c r="M58" s="22"/>
      <c r="N58" s="22"/>
      <c r="O58" s="22"/>
      <c r="P58" s="22"/>
      <c r="Q58" s="22"/>
      <c r="R58" s="22"/>
      <c r="S58" s="3"/>
      <c r="U58" s="2"/>
      <c r="V58" s="3"/>
      <c r="X58" s="2"/>
    </row>
    <row r="59" spans="1:24" x14ac:dyDescent="0.25">
      <c r="A59" s="15"/>
      <c r="B59" s="19"/>
      <c r="C59" s="9"/>
      <c r="D59" s="9"/>
      <c r="E59" s="9"/>
      <c r="F59" s="9"/>
      <c r="G59" s="32"/>
      <c r="H59" s="32"/>
      <c r="I59" s="22"/>
      <c r="J59" s="22"/>
      <c r="K59" s="22"/>
      <c r="L59" s="22"/>
      <c r="M59" s="22"/>
      <c r="N59" s="22"/>
      <c r="O59" s="22"/>
      <c r="P59" s="22"/>
      <c r="Q59" s="22"/>
      <c r="R59" s="22"/>
      <c r="S59" s="3"/>
      <c r="U59" s="2"/>
      <c r="V59" s="3"/>
      <c r="X59" s="2"/>
    </row>
    <row r="60" spans="1:24" x14ac:dyDescent="0.25">
      <c r="A60" s="15"/>
      <c r="B60" s="19"/>
      <c r="C60" s="9"/>
      <c r="D60" s="9"/>
      <c r="E60" s="9"/>
      <c r="F60" s="9"/>
      <c r="G60" s="32"/>
      <c r="H60" s="32"/>
      <c r="I60" s="22"/>
      <c r="J60" s="22"/>
      <c r="K60" s="22"/>
      <c r="L60" s="22"/>
      <c r="M60" s="22"/>
      <c r="N60" s="22"/>
      <c r="O60" s="22"/>
      <c r="P60" s="22"/>
      <c r="Q60" s="22"/>
      <c r="R60" s="22"/>
      <c r="S60" s="3"/>
      <c r="U60" s="2"/>
      <c r="V60" s="3"/>
      <c r="X60" s="2"/>
    </row>
    <row r="61" spans="1:24" x14ac:dyDescent="0.25">
      <c r="A61" s="15"/>
      <c r="B61" s="19"/>
      <c r="C61" s="9"/>
      <c r="D61" s="9"/>
      <c r="E61" s="9"/>
      <c r="F61" s="9"/>
      <c r="G61" s="32"/>
      <c r="H61" s="32"/>
      <c r="I61" s="22"/>
      <c r="J61" s="22"/>
      <c r="K61" s="22"/>
      <c r="L61" s="22"/>
      <c r="M61" s="22"/>
      <c r="N61" s="22"/>
      <c r="O61" s="22"/>
      <c r="P61" s="22"/>
      <c r="Q61" s="22"/>
      <c r="R61" s="22"/>
      <c r="S61" s="3"/>
      <c r="U61" s="2"/>
      <c r="V61" s="3"/>
      <c r="X61" s="2"/>
    </row>
    <row r="62" spans="1:24" x14ac:dyDescent="0.25">
      <c r="A62" s="15"/>
      <c r="B62" s="19"/>
      <c r="C62" s="9"/>
      <c r="D62" s="9"/>
      <c r="E62" s="9"/>
      <c r="F62" s="9"/>
      <c r="G62" s="32"/>
      <c r="H62" s="32"/>
      <c r="I62" s="22"/>
      <c r="J62" s="22"/>
      <c r="K62" s="22"/>
      <c r="L62" s="22"/>
      <c r="M62" s="22"/>
      <c r="N62" s="22"/>
      <c r="O62" s="22"/>
      <c r="P62" s="22"/>
      <c r="Q62" s="22"/>
      <c r="R62" s="22"/>
      <c r="S62" s="3"/>
      <c r="U62" s="2"/>
      <c r="V62" s="3"/>
      <c r="X62" s="2"/>
    </row>
    <row r="63" spans="1:24" x14ac:dyDescent="0.25">
      <c r="A63" s="7"/>
      <c r="B63" s="19"/>
      <c r="C63" s="9"/>
      <c r="D63" s="9"/>
      <c r="E63" s="9"/>
      <c r="F63" s="9"/>
      <c r="G63" s="32"/>
      <c r="H63" s="32"/>
      <c r="I63" s="22"/>
      <c r="J63" s="22"/>
      <c r="K63" s="22"/>
      <c r="L63" s="22"/>
      <c r="M63" s="22"/>
      <c r="N63" s="22"/>
      <c r="O63" s="22"/>
      <c r="P63" s="22"/>
      <c r="Q63" s="22"/>
      <c r="R63" s="22"/>
      <c r="S63" s="3"/>
      <c r="U63" s="2"/>
      <c r="V63" s="3"/>
      <c r="X63" s="2"/>
    </row>
    <row r="64" spans="1:24" x14ac:dyDescent="0.25">
      <c r="A64" s="15"/>
      <c r="B64" s="19"/>
      <c r="C64" s="9"/>
      <c r="D64" s="9"/>
      <c r="E64" s="9"/>
      <c r="F64" s="9"/>
      <c r="G64" s="32"/>
      <c r="H64" s="32"/>
      <c r="I64" s="22"/>
      <c r="J64" s="22"/>
      <c r="K64" s="22"/>
      <c r="L64" s="22"/>
      <c r="M64" s="22"/>
      <c r="N64" s="22"/>
      <c r="O64" s="22"/>
      <c r="P64" s="22"/>
      <c r="Q64" s="22"/>
      <c r="R64" s="22"/>
      <c r="S64" s="3"/>
      <c r="U64" s="2"/>
      <c r="V64" s="3"/>
      <c r="X64" s="2"/>
    </row>
    <row r="65" spans="1:24" x14ac:dyDescent="0.25">
      <c r="A65" s="7"/>
      <c r="B65" s="19"/>
      <c r="C65" s="9"/>
      <c r="D65" s="9"/>
      <c r="E65" s="9"/>
      <c r="F65" s="9"/>
      <c r="G65" s="32"/>
      <c r="H65" s="32"/>
      <c r="I65" s="22"/>
      <c r="J65" s="22"/>
      <c r="K65" s="22"/>
      <c r="L65" s="22"/>
      <c r="M65" s="22"/>
      <c r="N65" s="22"/>
      <c r="O65" s="22"/>
      <c r="P65" s="22"/>
      <c r="Q65" s="22"/>
      <c r="R65" s="22"/>
      <c r="S65" s="3"/>
      <c r="U65" s="2"/>
      <c r="V65" s="3"/>
      <c r="X65" s="2"/>
    </row>
    <row r="66" spans="1:24" x14ac:dyDescent="0.25">
      <c r="A66" s="7"/>
      <c r="B66" s="19"/>
      <c r="C66" s="9"/>
      <c r="D66" s="9"/>
      <c r="E66" s="9"/>
      <c r="F66" s="9"/>
      <c r="G66" s="32"/>
      <c r="H66" s="32"/>
      <c r="I66" s="22"/>
      <c r="J66" s="22"/>
      <c r="K66" s="22"/>
      <c r="L66" s="22"/>
      <c r="M66" s="22"/>
      <c r="N66" s="22"/>
      <c r="O66" s="22"/>
      <c r="P66" s="22"/>
      <c r="Q66" s="22"/>
      <c r="R66" s="22"/>
      <c r="S66" s="3"/>
      <c r="U66" s="2"/>
      <c r="V66" s="3"/>
      <c r="X66" s="2"/>
    </row>
    <row r="67" spans="1:24" x14ac:dyDescent="0.25">
      <c r="A67" s="7"/>
      <c r="B67" s="19"/>
      <c r="C67" s="9"/>
      <c r="D67" s="9"/>
      <c r="E67" s="9"/>
      <c r="F67" s="9"/>
      <c r="G67" s="32"/>
      <c r="H67" s="32"/>
      <c r="I67" s="3"/>
      <c r="J67" s="22"/>
      <c r="K67" s="22"/>
      <c r="L67" s="22"/>
      <c r="M67" s="22"/>
      <c r="N67" s="22"/>
      <c r="O67" s="22"/>
      <c r="P67" s="22"/>
      <c r="Q67" s="22"/>
      <c r="R67" s="22"/>
      <c r="S67" s="3"/>
      <c r="U67" s="2"/>
      <c r="V67" s="3"/>
      <c r="X67" s="2"/>
    </row>
    <row r="68" spans="1:24" x14ac:dyDescent="0.25">
      <c r="A68" s="7"/>
      <c r="B68" s="7"/>
      <c r="C68" s="9"/>
      <c r="D68" s="9"/>
      <c r="E68" s="9"/>
      <c r="F68" s="9"/>
      <c r="G68" s="32"/>
      <c r="H68" s="32"/>
      <c r="I68" s="3"/>
      <c r="J68" s="3"/>
      <c r="K68" s="3"/>
      <c r="L68" s="3"/>
      <c r="M68" s="3"/>
      <c r="N68" s="3"/>
      <c r="O68" s="3"/>
      <c r="P68" s="3"/>
      <c r="Q68" s="3"/>
      <c r="R68" s="3"/>
      <c r="S68" s="3"/>
      <c r="U68" s="2"/>
      <c r="V68" s="3"/>
      <c r="X68" s="2"/>
    </row>
    <row r="69" spans="1:24" x14ac:dyDescent="0.25">
      <c r="A69" s="7"/>
      <c r="B69" s="7"/>
      <c r="C69" s="9"/>
      <c r="D69" s="9"/>
      <c r="E69" s="9"/>
      <c r="F69" s="9"/>
      <c r="G69" s="32"/>
      <c r="H69" s="32"/>
      <c r="I69" s="22"/>
      <c r="J69" s="3"/>
      <c r="K69" s="3"/>
      <c r="L69" s="3"/>
      <c r="M69" s="3"/>
      <c r="N69" s="3"/>
      <c r="O69" s="3"/>
      <c r="P69" s="3"/>
      <c r="Q69" s="3"/>
      <c r="R69" s="3"/>
      <c r="S69" s="3"/>
      <c r="U69" s="2"/>
      <c r="V69" s="3"/>
      <c r="X69" s="2"/>
    </row>
    <row r="70" spans="1:24" x14ac:dyDescent="0.25">
      <c r="A70" s="15"/>
      <c r="B70" s="19"/>
      <c r="C70" s="9"/>
      <c r="D70" s="9"/>
      <c r="E70" s="9"/>
      <c r="F70" s="9"/>
      <c r="G70" s="32"/>
      <c r="H70" s="32"/>
      <c r="I70" s="22"/>
      <c r="J70" s="22"/>
      <c r="K70" s="22"/>
      <c r="L70" s="22"/>
      <c r="M70" s="22"/>
      <c r="N70" s="22"/>
      <c r="O70" s="22"/>
      <c r="P70" s="22"/>
      <c r="Q70" s="22"/>
      <c r="R70" s="22"/>
      <c r="S70" s="3"/>
      <c r="U70" s="2"/>
      <c r="V70" s="3"/>
      <c r="X70" s="2"/>
    </row>
    <row r="71" spans="1:24" x14ac:dyDescent="0.25">
      <c r="A71" s="7"/>
      <c r="B71" s="19"/>
      <c r="C71" s="9"/>
      <c r="D71" s="9"/>
      <c r="E71" s="9"/>
      <c r="F71" s="9"/>
      <c r="G71" s="32"/>
      <c r="H71" s="32"/>
      <c r="I71" s="22"/>
      <c r="J71" s="22"/>
      <c r="K71" s="22"/>
      <c r="L71" s="22"/>
      <c r="M71" s="22"/>
      <c r="N71" s="22"/>
      <c r="O71" s="22"/>
      <c r="P71" s="22"/>
      <c r="Q71" s="22"/>
      <c r="R71" s="22"/>
      <c r="S71" s="3"/>
      <c r="U71" s="2"/>
      <c r="V71" s="3"/>
      <c r="X71" s="2"/>
    </row>
    <row r="72" spans="1:24" x14ac:dyDescent="0.25">
      <c r="A72" s="15"/>
      <c r="B72" s="19"/>
      <c r="C72" s="9"/>
      <c r="D72" s="9"/>
      <c r="E72" s="9"/>
      <c r="F72" s="9"/>
      <c r="G72" s="32"/>
      <c r="H72" s="32"/>
      <c r="I72" s="22"/>
      <c r="J72" s="22"/>
      <c r="K72" s="22"/>
      <c r="L72" s="22"/>
      <c r="M72" s="22"/>
      <c r="N72" s="22"/>
      <c r="O72" s="22"/>
      <c r="P72" s="22"/>
      <c r="Q72" s="22"/>
      <c r="R72" s="22"/>
      <c r="S72" s="3"/>
      <c r="U72" s="2"/>
      <c r="V72" s="3"/>
      <c r="X72" s="2"/>
    </row>
    <row r="73" spans="1:24" x14ac:dyDescent="0.25">
      <c r="A73" s="15"/>
      <c r="B73" s="19"/>
      <c r="C73" s="9"/>
      <c r="D73" s="9"/>
      <c r="E73" s="9"/>
      <c r="F73" s="9"/>
      <c r="G73" s="32"/>
      <c r="H73" s="32"/>
      <c r="I73" s="22"/>
      <c r="J73" s="22"/>
      <c r="K73" s="22"/>
      <c r="L73" s="22"/>
      <c r="M73" s="22"/>
      <c r="N73" s="22"/>
      <c r="O73" s="22"/>
      <c r="P73" s="22"/>
      <c r="Q73" s="22"/>
      <c r="R73" s="22"/>
      <c r="S73" s="3"/>
      <c r="U73" s="2"/>
      <c r="V73" s="3"/>
      <c r="X73" s="2"/>
    </row>
    <row r="74" spans="1:24" x14ac:dyDescent="0.25">
      <c r="A74" s="15"/>
      <c r="B74" s="19"/>
      <c r="C74" s="9"/>
      <c r="D74" s="9"/>
      <c r="E74" s="9"/>
      <c r="F74" s="9"/>
      <c r="G74" s="32"/>
      <c r="H74" s="32"/>
      <c r="I74" s="22"/>
      <c r="J74" s="22"/>
      <c r="K74" s="22"/>
      <c r="L74" s="22"/>
      <c r="M74" s="22"/>
      <c r="N74" s="22"/>
      <c r="O74" s="22"/>
      <c r="P74" s="22"/>
      <c r="Q74" s="22"/>
      <c r="R74" s="22"/>
      <c r="S74" s="3"/>
      <c r="U74" s="2"/>
      <c r="V74" s="3"/>
      <c r="X74" s="2"/>
    </row>
    <row r="75" spans="1:24" x14ac:dyDescent="0.25">
      <c r="A75" s="15"/>
      <c r="B75" s="19"/>
      <c r="C75" s="9"/>
      <c r="D75" s="9"/>
      <c r="E75" s="9"/>
      <c r="F75" s="9"/>
      <c r="G75" s="32"/>
      <c r="H75" s="32"/>
      <c r="I75" s="22"/>
      <c r="J75" s="22"/>
      <c r="K75" s="22"/>
      <c r="L75" s="22"/>
      <c r="M75" s="22"/>
      <c r="N75" s="22"/>
      <c r="O75" s="22"/>
      <c r="P75" s="22"/>
      <c r="Q75" s="22"/>
      <c r="R75" s="22"/>
      <c r="S75" s="3"/>
      <c r="U75" s="2"/>
      <c r="V75" s="3"/>
      <c r="X75" s="2"/>
    </row>
    <row r="76" spans="1:24" x14ac:dyDescent="0.25">
      <c r="A76" s="15"/>
      <c r="B76" s="19"/>
      <c r="C76" s="9"/>
      <c r="D76" s="9"/>
      <c r="E76" s="9"/>
      <c r="F76" s="9"/>
      <c r="G76" s="32"/>
      <c r="H76" s="32"/>
      <c r="I76" s="3"/>
      <c r="J76" s="22"/>
      <c r="K76" s="22"/>
      <c r="L76" s="22"/>
      <c r="M76" s="22"/>
      <c r="N76" s="22"/>
      <c r="O76" s="22"/>
      <c r="P76" s="22"/>
      <c r="Q76" s="22"/>
      <c r="R76" s="22"/>
      <c r="S76" s="3"/>
      <c r="U76" s="2"/>
      <c r="V76" s="3"/>
      <c r="X76" s="2"/>
    </row>
    <row r="77" spans="1:24" x14ac:dyDescent="0.25">
      <c r="A77" s="7"/>
      <c r="B77" s="7"/>
      <c r="C77" s="9"/>
      <c r="D77" s="9"/>
      <c r="E77" s="9"/>
      <c r="F77" s="9"/>
      <c r="G77" s="32"/>
      <c r="H77" s="32"/>
      <c r="I77" s="3"/>
      <c r="J77" s="3"/>
      <c r="K77" s="3"/>
      <c r="L77" s="3"/>
      <c r="M77" s="3"/>
      <c r="N77" s="3"/>
      <c r="O77" s="3"/>
      <c r="P77" s="3"/>
      <c r="Q77" s="3"/>
      <c r="R77" s="3"/>
      <c r="S77" s="3"/>
      <c r="U77" s="2"/>
      <c r="V77" s="3"/>
      <c r="X77" s="2"/>
    </row>
    <row r="78" spans="1:24" x14ac:dyDescent="0.25">
      <c r="A78" s="7"/>
      <c r="B78" s="7"/>
      <c r="C78" s="9"/>
      <c r="D78" s="9"/>
      <c r="E78" s="9"/>
      <c r="F78" s="9"/>
      <c r="G78" s="32"/>
      <c r="H78" s="32"/>
      <c r="I78" s="3"/>
      <c r="J78" s="3"/>
      <c r="K78" s="3"/>
      <c r="L78" s="3"/>
      <c r="M78" s="3"/>
      <c r="N78" s="3"/>
      <c r="O78" s="3"/>
      <c r="P78" s="3"/>
      <c r="Q78" s="3"/>
      <c r="R78" s="3"/>
      <c r="S78" s="3"/>
      <c r="U78" s="2"/>
      <c r="V78" s="3"/>
      <c r="X78" s="2"/>
    </row>
    <row r="79" spans="1:24" x14ac:dyDescent="0.25">
      <c r="A79" s="7"/>
      <c r="B79" s="7"/>
      <c r="C79" s="9"/>
      <c r="D79" s="9"/>
      <c r="E79" s="9"/>
      <c r="F79" s="9"/>
      <c r="G79" s="32"/>
      <c r="H79" s="32"/>
      <c r="I79" s="3"/>
      <c r="J79" s="3"/>
      <c r="K79" s="3"/>
      <c r="L79" s="3"/>
      <c r="M79" s="3"/>
      <c r="N79" s="3"/>
      <c r="O79" s="3"/>
      <c r="P79" s="3"/>
      <c r="Q79" s="3"/>
      <c r="R79" s="3"/>
      <c r="S79" s="3"/>
      <c r="U79" s="2"/>
      <c r="V79" s="3"/>
      <c r="X79" s="2"/>
    </row>
    <row r="80" spans="1:24" x14ac:dyDescent="0.25">
      <c r="A80" s="7"/>
      <c r="B80" s="7"/>
      <c r="C80" s="9"/>
      <c r="D80" s="9"/>
      <c r="E80" s="9"/>
      <c r="F80" s="9"/>
      <c r="G80" s="32"/>
      <c r="H80" s="32"/>
      <c r="I80" s="3"/>
      <c r="J80" s="3"/>
      <c r="K80" s="3"/>
      <c r="L80" s="3"/>
      <c r="M80" s="3"/>
      <c r="N80" s="3"/>
      <c r="O80" s="3"/>
      <c r="P80" s="3"/>
      <c r="Q80" s="3"/>
      <c r="R80" s="3"/>
      <c r="S80" s="3"/>
      <c r="U80" s="2"/>
      <c r="V80" s="3"/>
      <c r="X80" s="2"/>
    </row>
    <row r="81" spans="1:24" x14ac:dyDescent="0.25">
      <c r="A81" s="7"/>
      <c r="B81" s="7"/>
      <c r="C81" s="9"/>
      <c r="D81" s="9"/>
      <c r="E81" s="9"/>
      <c r="F81" s="9"/>
      <c r="G81" s="32"/>
      <c r="H81" s="32"/>
      <c r="I81" s="3"/>
      <c r="J81" s="3"/>
      <c r="K81" s="3"/>
      <c r="L81" s="3"/>
      <c r="M81" s="3"/>
      <c r="N81" s="3"/>
      <c r="O81" s="3"/>
      <c r="P81" s="3"/>
      <c r="Q81" s="3"/>
      <c r="R81" s="3"/>
      <c r="S81" s="3"/>
      <c r="U81" s="2"/>
      <c r="V81" s="3"/>
      <c r="X81" s="2"/>
    </row>
    <row r="82" spans="1:24" x14ac:dyDescent="0.25">
      <c r="A82" s="7"/>
      <c r="B82" s="7"/>
      <c r="C82" s="9"/>
      <c r="D82" s="9"/>
      <c r="E82" s="9"/>
      <c r="F82" s="9"/>
      <c r="G82" s="32"/>
      <c r="H82" s="32"/>
      <c r="I82" s="3"/>
      <c r="J82" s="3"/>
      <c r="K82" s="3"/>
      <c r="L82" s="3"/>
      <c r="M82" s="3"/>
      <c r="N82" s="3"/>
      <c r="O82" s="3"/>
      <c r="P82" s="3"/>
      <c r="Q82" s="3"/>
      <c r="R82" s="3"/>
      <c r="S82" s="3"/>
      <c r="U82" s="2"/>
      <c r="V82" s="3"/>
      <c r="X82" s="2"/>
    </row>
    <row r="83" spans="1:24" x14ac:dyDescent="0.25">
      <c r="A83" s="7"/>
      <c r="B83" s="7"/>
      <c r="C83" s="9"/>
      <c r="D83" s="9"/>
      <c r="E83" s="9"/>
      <c r="F83" s="9"/>
      <c r="G83" s="32"/>
      <c r="H83" s="32"/>
      <c r="I83" s="3"/>
      <c r="J83" s="3"/>
      <c r="K83" s="3"/>
      <c r="L83" s="3"/>
      <c r="M83" s="3"/>
      <c r="N83" s="3"/>
      <c r="O83" s="3"/>
      <c r="P83" s="3"/>
      <c r="Q83" s="3"/>
      <c r="R83" s="3"/>
      <c r="S83" s="3"/>
      <c r="U83" s="2"/>
      <c r="V83" s="3"/>
      <c r="X83" s="2"/>
    </row>
    <row r="84" spans="1:24" x14ac:dyDescent="0.25">
      <c r="A84" s="7"/>
      <c r="B84" s="7"/>
      <c r="C84" s="9"/>
      <c r="D84" s="9"/>
      <c r="E84" s="9"/>
      <c r="F84" s="9"/>
      <c r="G84" s="32"/>
      <c r="H84" s="32"/>
      <c r="I84" s="3"/>
      <c r="J84" s="3"/>
      <c r="K84" s="3"/>
      <c r="L84" s="3"/>
      <c r="M84" s="3"/>
      <c r="N84" s="3"/>
      <c r="O84" s="3"/>
      <c r="P84" s="3"/>
      <c r="Q84" s="3"/>
      <c r="R84" s="3"/>
      <c r="S84" s="3"/>
      <c r="U84" s="2"/>
      <c r="V84" s="3"/>
      <c r="X84" s="2"/>
    </row>
    <row r="85" spans="1:24" x14ac:dyDescent="0.25">
      <c r="A85" s="7"/>
      <c r="B85" s="7"/>
      <c r="C85" s="9"/>
      <c r="D85" s="9"/>
      <c r="E85" s="9"/>
      <c r="F85" s="9"/>
      <c r="G85" s="32"/>
      <c r="H85" s="32"/>
      <c r="I85" s="3"/>
      <c r="J85" s="3"/>
      <c r="K85" s="3"/>
      <c r="L85" s="3"/>
      <c r="M85" s="3"/>
      <c r="N85" s="3"/>
      <c r="O85" s="3"/>
      <c r="P85" s="3"/>
      <c r="Q85" s="3"/>
      <c r="R85" s="3"/>
      <c r="S85" s="3"/>
      <c r="U85" s="2"/>
      <c r="V85" s="3"/>
      <c r="X85" s="2"/>
    </row>
    <row r="86" spans="1:24" x14ac:dyDescent="0.25">
      <c r="A86" s="7"/>
      <c r="B86" s="7"/>
      <c r="C86" s="9"/>
      <c r="D86" s="9"/>
      <c r="E86" s="9"/>
      <c r="F86" s="9"/>
      <c r="G86" s="32"/>
      <c r="H86" s="32"/>
      <c r="I86" s="3"/>
      <c r="J86" s="3"/>
      <c r="K86" s="3"/>
      <c r="L86" s="3"/>
      <c r="M86" s="3"/>
      <c r="N86" s="3"/>
      <c r="O86" s="3"/>
      <c r="P86" s="3"/>
      <c r="Q86" s="3"/>
      <c r="R86" s="3"/>
      <c r="S86" s="3"/>
      <c r="U86" s="2"/>
      <c r="V86" s="3"/>
      <c r="X86" s="2"/>
    </row>
    <row r="87" spans="1:24" x14ac:dyDescent="0.25">
      <c r="A87" s="7"/>
      <c r="B87" s="7"/>
      <c r="C87" s="9"/>
      <c r="D87" s="9"/>
      <c r="E87" s="9"/>
      <c r="F87" s="9"/>
      <c r="G87" s="32"/>
      <c r="H87" s="32"/>
      <c r="I87" s="3"/>
      <c r="J87" s="3"/>
      <c r="K87" s="3"/>
      <c r="L87" s="3"/>
      <c r="M87" s="3"/>
      <c r="N87" s="3"/>
      <c r="O87" s="3"/>
      <c r="P87" s="3"/>
      <c r="Q87" s="3"/>
      <c r="R87" s="3"/>
      <c r="S87" s="3"/>
      <c r="U87" s="2"/>
      <c r="V87" s="3"/>
      <c r="X87" s="2"/>
    </row>
    <row r="88" spans="1:24" x14ac:dyDescent="0.25">
      <c r="A88" s="7"/>
      <c r="B88" s="7"/>
      <c r="C88" s="9"/>
      <c r="D88" s="9"/>
      <c r="E88" s="9"/>
      <c r="F88" s="9"/>
      <c r="G88" s="32"/>
      <c r="H88" s="32"/>
      <c r="I88" s="3"/>
      <c r="J88" s="3"/>
      <c r="K88" s="3"/>
      <c r="L88" s="3"/>
      <c r="M88" s="3"/>
      <c r="N88" s="3"/>
      <c r="O88" s="3"/>
      <c r="P88" s="3"/>
      <c r="Q88" s="3"/>
      <c r="R88" s="3"/>
      <c r="S88" s="3"/>
      <c r="U88" s="2"/>
      <c r="V88" s="3"/>
      <c r="X88" s="2"/>
    </row>
    <row r="89" spans="1:24" x14ac:dyDescent="0.25">
      <c r="A89" s="7"/>
      <c r="B89" s="7"/>
      <c r="C89" s="9"/>
      <c r="D89" s="9"/>
      <c r="E89" s="9"/>
      <c r="F89" s="9"/>
      <c r="G89" s="32"/>
      <c r="H89" s="32"/>
      <c r="I89" s="3"/>
      <c r="J89" s="3"/>
      <c r="K89" s="3"/>
      <c r="L89" s="3"/>
      <c r="M89" s="3"/>
      <c r="N89" s="3"/>
      <c r="O89" s="3"/>
      <c r="P89" s="3"/>
      <c r="Q89" s="3"/>
      <c r="R89" s="3"/>
      <c r="S89" s="3"/>
      <c r="U89" s="2"/>
      <c r="V89" s="3"/>
      <c r="X89" s="2"/>
    </row>
    <row r="90" spans="1:24" x14ac:dyDescent="0.25">
      <c r="A90" s="7"/>
      <c r="B90" s="7"/>
      <c r="C90" s="9"/>
      <c r="D90" s="9"/>
      <c r="E90" s="9"/>
      <c r="F90" s="9"/>
      <c r="G90" s="32"/>
      <c r="H90" s="32"/>
      <c r="I90" s="3"/>
      <c r="J90" s="3"/>
      <c r="K90" s="3"/>
      <c r="L90" s="3"/>
      <c r="M90" s="3"/>
      <c r="N90" s="3"/>
      <c r="O90" s="3"/>
      <c r="P90" s="3"/>
      <c r="Q90" s="3"/>
      <c r="R90" s="3"/>
      <c r="S90" s="3"/>
      <c r="U90" s="2"/>
      <c r="V90" s="3"/>
      <c r="X90" s="2"/>
    </row>
    <row r="91" spans="1:24" x14ac:dyDescent="0.25">
      <c r="A91" s="7"/>
      <c r="B91" s="7"/>
      <c r="C91" s="9"/>
      <c r="D91" s="9"/>
      <c r="E91" s="9"/>
      <c r="F91" s="9"/>
      <c r="G91" s="32"/>
      <c r="H91" s="32"/>
      <c r="I91" s="3"/>
      <c r="J91" s="3"/>
      <c r="K91" s="3"/>
      <c r="L91" s="3"/>
      <c r="M91" s="3"/>
      <c r="N91" s="3"/>
      <c r="O91" s="3"/>
      <c r="P91" s="3"/>
      <c r="Q91" s="3"/>
      <c r="R91" s="3"/>
      <c r="S91" s="3"/>
      <c r="U91" s="2"/>
      <c r="V91" s="3"/>
      <c r="X91" s="2"/>
    </row>
    <row r="92" spans="1:24" x14ac:dyDescent="0.25">
      <c r="A92" s="7"/>
      <c r="B92" s="7"/>
      <c r="C92" s="9"/>
      <c r="D92" s="9"/>
      <c r="E92" s="9"/>
      <c r="F92" s="9"/>
      <c r="G92" s="32"/>
      <c r="H92" s="32"/>
      <c r="I92" s="3"/>
      <c r="J92" s="3"/>
      <c r="K92" s="3"/>
      <c r="L92" s="3"/>
      <c r="M92" s="3"/>
      <c r="N92" s="3"/>
      <c r="O92" s="3"/>
      <c r="P92" s="3"/>
      <c r="Q92" s="3"/>
      <c r="R92" s="3"/>
      <c r="S92" s="3"/>
      <c r="U92" s="2"/>
      <c r="V92" s="3"/>
      <c r="X92" s="2"/>
    </row>
    <row r="93" spans="1:24" x14ac:dyDescent="0.25">
      <c r="A93" s="7"/>
      <c r="B93" s="7"/>
      <c r="C93" s="9"/>
      <c r="D93" s="9"/>
      <c r="E93" s="9"/>
      <c r="F93" s="9"/>
      <c r="G93" s="32"/>
      <c r="H93" s="32"/>
      <c r="I93" s="3"/>
      <c r="J93" s="3"/>
      <c r="K93" s="3"/>
      <c r="L93" s="3"/>
      <c r="M93" s="3"/>
      <c r="N93" s="3"/>
      <c r="O93" s="3"/>
      <c r="P93" s="3"/>
      <c r="Q93" s="3"/>
      <c r="R93" s="3"/>
      <c r="S93" s="3"/>
      <c r="U93" s="2"/>
      <c r="V93" s="3"/>
      <c r="X93" s="2"/>
    </row>
    <row r="94" spans="1:24" x14ac:dyDescent="0.25">
      <c r="A94" s="7"/>
      <c r="B94" s="7"/>
      <c r="C94" s="9"/>
      <c r="D94" s="9"/>
      <c r="E94" s="9"/>
      <c r="F94" s="9"/>
      <c r="G94" s="32"/>
      <c r="H94" s="32"/>
      <c r="I94" s="3"/>
      <c r="J94" s="3"/>
      <c r="K94" s="3"/>
      <c r="L94" s="3"/>
      <c r="M94" s="3"/>
      <c r="N94" s="3"/>
      <c r="O94" s="3"/>
      <c r="P94" s="3"/>
      <c r="Q94" s="3"/>
      <c r="R94" s="3"/>
      <c r="S94" s="3"/>
      <c r="U94" s="2"/>
      <c r="V94" s="3"/>
      <c r="X94" s="2"/>
    </row>
    <row r="95" spans="1:24" x14ac:dyDescent="0.25">
      <c r="A95" s="7"/>
      <c r="B95" s="7"/>
      <c r="C95" s="9"/>
      <c r="D95" s="9"/>
      <c r="E95" s="9"/>
      <c r="F95" s="9"/>
      <c r="G95" s="32"/>
      <c r="H95" s="32"/>
      <c r="I95" s="3"/>
      <c r="J95" s="3"/>
      <c r="K95" s="3"/>
      <c r="L95" s="3"/>
      <c r="M95" s="3"/>
      <c r="N95" s="3"/>
      <c r="O95" s="3"/>
      <c r="P95" s="3"/>
      <c r="Q95" s="3"/>
      <c r="R95" s="3"/>
      <c r="S95" s="3"/>
      <c r="U95" s="2"/>
      <c r="V95" s="3"/>
      <c r="X95" s="2"/>
    </row>
    <row r="96" spans="1:24" x14ac:dyDescent="0.25">
      <c r="A96" s="7"/>
      <c r="B96" s="7"/>
      <c r="C96" s="9"/>
      <c r="D96" s="9"/>
      <c r="E96" s="9"/>
      <c r="F96" s="9"/>
      <c r="G96" s="32"/>
      <c r="H96" s="32"/>
      <c r="I96" s="3"/>
      <c r="J96" s="3"/>
      <c r="K96" s="3"/>
      <c r="L96" s="3"/>
      <c r="M96" s="3"/>
      <c r="N96" s="3"/>
      <c r="O96" s="3"/>
      <c r="P96" s="3"/>
      <c r="Q96" s="3"/>
      <c r="R96" s="3"/>
      <c r="S96" s="3"/>
      <c r="U96" s="2"/>
      <c r="V96" s="3"/>
      <c r="X96" s="2"/>
    </row>
    <row r="97" spans="1:24" x14ac:dyDescent="0.25">
      <c r="A97" s="7"/>
      <c r="B97" s="7"/>
      <c r="C97" s="9"/>
      <c r="D97" s="9"/>
      <c r="E97" s="9"/>
      <c r="F97" s="9"/>
      <c r="G97" s="32"/>
      <c r="H97" s="32"/>
      <c r="I97" s="3"/>
      <c r="J97" s="3"/>
      <c r="K97" s="3"/>
      <c r="L97" s="3"/>
      <c r="M97" s="3"/>
      <c r="N97" s="3"/>
      <c r="O97" s="3"/>
      <c r="P97" s="3"/>
      <c r="Q97" s="3"/>
      <c r="R97" s="3"/>
      <c r="S97" s="3"/>
      <c r="U97" s="2"/>
      <c r="V97" s="3"/>
      <c r="X97" s="2"/>
    </row>
    <row r="98" spans="1:24" x14ac:dyDescent="0.25">
      <c r="A98" s="7"/>
      <c r="B98" s="7"/>
      <c r="C98" s="9"/>
      <c r="D98" s="9"/>
      <c r="E98" s="9"/>
      <c r="F98" s="9"/>
      <c r="G98" s="32"/>
      <c r="H98" s="32"/>
      <c r="I98" s="3"/>
      <c r="J98" s="3"/>
      <c r="K98" s="3"/>
      <c r="L98" s="3"/>
      <c r="M98" s="3"/>
      <c r="N98" s="3"/>
      <c r="O98" s="3"/>
      <c r="P98" s="3"/>
      <c r="Q98" s="3"/>
      <c r="R98" s="3"/>
      <c r="S98" s="3"/>
      <c r="U98" s="2"/>
      <c r="V98" s="3"/>
      <c r="X98" s="2"/>
    </row>
    <row r="99" spans="1:24" x14ac:dyDescent="0.25">
      <c r="A99" s="7"/>
      <c r="B99" s="7"/>
      <c r="C99" s="9"/>
      <c r="D99" s="9"/>
      <c r="E99" s="9"/>
      <c r="F99" s="9"/>
      <c r="G99" s="32"/>
      <c r="H99" s="32"/>
      <c r="I99" s="3"/>
      <c r="J99" s="3"/>
      <c r="K99" s="3"/>
      <c r="L99" s="3"/>
      <c r="M99" s="3"/>
      <c r="N99" s="3"/>
      <c r="O99" s="3"/>
      <c r="P99" s="3"/>
      <c r="Q99" s="3"/>
      <c r="R99" s="3"/>
      <c r="S99" s="3"/>
      <c r="U99" s="2"/>
      <c r="V99" s="3"/>
      <c r="X99" s="2"/>
    </row>
    <row r="100" spans="1:24" x14ac:dyDescent="0.25">
      <c r="A100" s="7"/>
      <c r="B100" s="7"/>
      <c r="C100" s="9"/>
      <c r="D100" s="9"/>
      <c r="E100" s="9"/>
      <c r="F100" s="9"/>
      <c r="G100" s="32"/>
      <c r="H100" s="32"/>
      <c r="I100" s="3"/>
      <c r="J100" s="3"/>
      <c r="K100" s="3"/>
      <c r="L100" s="3"/>
      <c r="M100" s="3"/>
      <c r="N100" s="3"/>
      <c r="O100" s="3"/>
      <c r="P100" s="3"/>
      <c r="Q100" s="3"/>
      <c r="R100" s="3"/>
      <c r="S100" s="3"/>
      <c r="U100" s="2"/>
      <c r="V100" s="3"/>
      <c r="X100" s="2"/>
    </row>
    <row r="101" spans="1:24" x14ac:dyDescent="0.25">
      <c r="A101" s="7"/>
      <c r="B101" s="7"/>
      <c r="C101" s="9"/>
      <c r="D101" s="9"/>
      <c r="E101" s="9"/>
      <c r="F101" s="9"/>
      <c r="G101" s="32"/>
      <c r="H101" s="32"/>
      <c r="I101" s="3"/>
      <c r="J101" s="3"/>
      <c r="K101" s="3"/>
      <c r="L101" s="3"/>
      <c r="M101" s="3"/>
      <c r="N101" s="3"/>
      <c r="O101" s="3"/>
      <c r="P101" s="3"/>
      <c r="Q101" s="3"/>
      <c r="R101" s="3"/>
      <c r="S101" s="3"/>
      <c r="U101" s="2"/>
      <c r="V101" s="3"/>
      <c r="X101" s="2"/>
    </row>
    <row r="102" spans="1:24" x14ac:dyDescent="0.25">
      <c r="A102" s="7"/>
      <c r="B102" s="7"/>
      <c r="C102" s="9"/>
      <c r="D102" s="9"/>
      <c r="E102" s="9"/>
      <c r="F102" s="9"/>
      <c r="G102" s="32"/>
      <c r="H102" s="32"/>
      <c r="I102" s="3"/>
      <c r="J102" s="3"/>
      <c r="K102" s="3"/>
      <c r="L102" s="3"/>
      <c r="M102" s="3"/>
      <c r="N102" s="3"/>
      <c r="O102" s="3"/>
      <c r="P102" s="3"/>
      <c r="Q102" s="3"/>
      <c r="R102" s="3"/>
      <c r="S102" s="3"/>
      <c r="U102" s="2"/>
      <c r="V102" s="3"/>
      <c r="X102" s="2"/>
    </row>
    <row r="103" spans="1:24" x14ac:dyDescent="0.25">
      <c r="A103" s="7"/>
      <c r="B103" s="7"/>
      <c r="C103" s="9"/>
      <c r="D103" s="9"/>
      <c r="E103" s="9"/>
      <c r="F103" s="9"/>
      <c r="G103" s="32"/>
      <c r="H103" s="32"/>
      <c r="I103" s="3"/>
      <c r="J103" s="3"/>
      <c r="K103" s="3"/>
      <c r="L103" s="3"/>
      <c r="M103" s="3"/>
      <c r="N103" s="3"/>
      <c r="O103" s="3"/>
      <c r="P103" s="3"/>
      <c r="Q103" s="3"/>
      <c r="R103" s="3"/>
      <c r="S103" s="3"/>
      <c r="U103" s="2"/>
      <c r="V103" s="3"/>
      <c r="X103" s="2"/>
    </row>
    <row r="104" spans="1:24" x14ac:dyDescent="0.25">
      <c r="A104" s="7"/>
      <c r="B104" s="7"/>
      <c r="C104" s="9"/>
      <c r="D104" s="9"/>
      <c r="E104" s="9"/>
      <c r="F104" s="9"/>
      <c r="G104" s="32"/>
      <c r="H104" s="32"/>
      <c r="I104" s="3"/>
      <c r="J104" s="3"/>
      <c r="K104" s="3"/>
      <c r="L104" s="3"/>
      <c r="M104" s="3"/>
      <c r="N104" s="3"/>
      <c r="O104" s="3"/>
      <c r="P104" s="3"/>
      <c r="Q104" s="3"/>
      <c r="R104" s="3"/>
      <c r="S104" s="3"/>
      <c r="U104" s="2"/>
      <c r="V104" s="3"/>
      <c r="X104" s="2"/>
    </row>
    <row r="105" spans="1:24" x14ac:dyDescent="0.25">
      <c r="A105" s="7"/>
      <c r="B105" s="7"/>
      <c r="C105" s="9"/>
      <c r="D105" s="9"/>
      <c r="E105" s="9"/>
      <c r="F105" s="9"/>
      <c r="G105" s="32"/>
      <c r="H105" s="32"/>
      <c r="I105" s="3"/>
      <c r="J105" s="3"/>
      <c r="K105" s="3"/>
      <c r="L105" s="3"/>
      <c r="M105" s="3"/>
      <c r="N105" s="3"/>
      <c r="O105" s="3"/>
      <c r="P105" s="3"/>
      <c r="Q105" s="3"/>
      <c r="R105" s="3"/>
      <c r="S105" s="3"/>
      <c r="U105" s="2"/>
      <c r="V105" s="3"/>
      <c r="X105" s="2"/>
    </row>
    <row r="106" spans="1:24" x14ac:dyDescent="0.25">
      <c r="A106" s="7"/>
      <c r="B106" s="7"/>
      <c r="C106" s="9"/>
      <c r="D106" s="9"/>
      <c r="E106" s="9"/>
      <c r="F106" s="9"/>
      <c r="G106" s="32"/>
      <c r="H106" s="32"/>
      <c r="I106" s="3"/>
      <c r="J106" s="3"/>
      <c r="K106" s="3"/>
      <c r="L106" s="3"/>
      <c r="M106" s="3"/>
      <c r="N106" s="3"/>
      <c r="O106" s="3"/>
      <c r="P106" s="3"/>
      <c r="Q106" s="3"/>
      <c r="R106" s="3"/>
      <c r="S106" s="3"/>
      <c r="U106" s="2"/>
      <c r="V106" s="3"/>
      <c r="X106" s="2"/>
    </row>
    <row r="107" spans="1:24" x14ac:dyDescent="0.25">
      <c r="A107" s="7"/>
      <c r="B107" s="7"/>
      <c r="C107" s="9"/>
      <c r="D107" s="9"/>
      <c r="E107" s="9"/>
      <c r="F107" s="9"/>
      <c r="G107" s="32"/>
      <c r="H107" s="32"/>
      <c r="I107" s="3"/>
      <c r="J107" s="3"/>
      <c r="K107" s="3"/>
      <c r="L107" s="3"/>
      <c r="M107" s="3"/>
      <c r="N107" s="3"/>
      <c r="O107" s="3"/>
      <c r="P107" s="3"/>
      <c r="Q107" s="3"/>
      <c r="R107" s="3"/>
      <c r="S107" s="3"/>
      <c r="U107" s="2"/>
      <c r="V107" s="3"/>
      <c r="X107" s="2"/>
    </row>
    <row r="108" spans="1:24" x14ac:dyDescent="0.25">
      <c r="A108" s="7"/>
      <c r="B108" s="7"/>
      <c r="C108" s="9"/>
      <c r="D108" s="9"/>
      <c r="E108" s="9"/>
      <c r="F108" s="9"/>
      <c r="G108" s="32"/>
      <c r="H108" s="32"/>
      <c r="I108" s="3"/>
      <c r="J108" s="3"/>
      <c r="K108" s="3"/>
      <c r="L108" s="3"/>
      <c r="M108" s="3"/>
      <c r="N108" s="3"/>
      <c r="O108" s="3"/>
      <c r="P108" s="3"/>
      <c r="Q108" s="3"/>
      <c r="R108" s="3"/>
      <c r="S108" s="3"/>
      <c r="U108" s="2"/>
      <c r="V108" s="3"/>
      <c r="X108" s="2"/>
    </row>
    <row r="109" spans="1:24" x14ac:dyDescent="0.25">
      <c r="A109" s="7"/>
      <c r="B109" s="7"/>
      <c r="C109" s="9"/>
      <c r="D109" s="9"/>
      <c r="E109" s="9"/>
      <c r="F109" s="9"/>
      <c r="G109" s="32"/>
      <c r="H109" s="32"/>
      <c r="I109" s="3"/>
      <c r="J109" s="3"/>
      <c r="K109" s="3"/>
      <c r="L109" s="3"/>
      <c r="M109" s="3"/>
      <c r="N109" s="3"/>
      <c r="O109" s="3"/>
      <c r="P109" s="3"/>
      <c r="Q109" s="3"/>
      <c r="R109" s="3"/>
      <c r="S109" s="3"/>
      <c r="U109" s="2"/>
      <c r="V109" s="3"/>
      <c r="X109" s="2"/>
    </row>
    <row r="110" spans="1:24" x14ac:dyDescent="0.25">
      <c r="A110" s="7"/>
      <c r="B110" s="7"/>
      <c r="C110" s="9"/>
      <c r="D110" s="9"/>
      <c r="E110" s="9"/>
      <c r="F110" s="9"/>
      <c r="G110" s="32"/>
      <c r="H110" s="32"/>
      <c r="I110" s="3"/>
      <c r="J110" s="3"/>
      <c r="K110" s="3"/>
      <c r="L110" s="3"/>
      <c r="M110" s="3"/>
      <c r="N110" s="3"/>
      <c r="O110" s="3"/>
      <c r="P110" s="3"/>
      <c r="Q110" s="3"/>
      <c r="R110" s="3"/>
      <c r="S110" s="3"/>
      <c r="U110" s="2"/>
      <c r="V110" s="3"/>
      <c r="X110" s="2"/>
    </row>
    <row r="111" spans="1:24" x14ac:dyDescent="0.25">
      <c r="A111" s="7"/>
      <c r="B111" s="7"/>
      <c r="C111" s="9"/>
      <c r="D111" s="9"/>
      <c r="E111" s="9"/>
      <c r="F111" s="9"/>
      <c r="G111" s="32"/>
      <c r="H111" s="32"/>
      <c r="I111" s="3"/>
      <c r="J111" s="3"/>
      <c r="K111" s="3"/>
      <c r="L111" s="3"/>
      <c r="M111" s="3"/>
      <c r="N111" s="3"/>
      <c r="O111" s="3"/>
      <c r="P111" s="3"/>
      <c r="Q111" s="3"/>
      <c r="R111" s="3"/>
      <c r="S111" s="3"/>
      <c r="U111" s="2"/>
      <c r="V111" s="3"/>
      <c r="X111" s="2"/>
    </row>
    <row r="112" spans="1:24" x14ac:dyDescent="0.25">
      <c r="A112" s="7"/>
      <c r="B112" s="7"/>
      <c r="C112" s="9"/>
      <c r="D112" s="9"/>
      <c r="E112" s="9"/>
      <c r="F112" s="9"/>
      <c r="G112" s="32"/>
      <c r="H112" s="32"/>
      <c r="I112" s="3"/>
      <c r="J112" s="3"/>
      <c r="K112" s="3"/>
      <c r="L112" s="3"/>
      <c r="M112" s="3"/>
      <c r="N112" s="3"/>
      <c r="O112" s="3"/>
      <c r="P112" s="3"/>
      <c r="Q112" s="3"/>
      <c r="R112" s="3"/>
      <c r="S112" s="3"/>
      <c r="U112" s="2"/>
      <c r="V112" s="3"/>
      <c r="X112" s="2"/>
    </row>
    <row r="113" spans="1:24" x14ac:dyDescent="0.25">
      <c r="A113" s="7"/>
      <c r="B113" s="7"/>
      <c r="C113" s="9"/>
      <c r="D113" s="9"/>
      <c r="E113" s="9"/>
      <c r="F113" s="9"/>
      <c r="G113" s="32"/>
      <c r="H113" s="32"/>
      <c r="I113" s="3"/>
      <c r="J113" s="3"/>
      <c r="K113" s="3"/>
      <c r="L113" s="3"/>
      <c r="M113" s="3"/>
      <c r="N113" s="3"/>
      <c r="O113" s="3"/>
      <c r="P113" s="3"/>
      <c r="Q113" s="3"/>
      <c r="R113" s="3"/>
      <c r="S113" s="3"/>
      <c r="U113" s="2"/>
      <c r="V113" s="3"/>
      <c r="X113" s="2"/>
    </row>
    <row r="114" spans="1:24" x14ac:dyDescent="0.25">
      <c r="A114" s="7"/>
      <c r="B114" s="7"/>
      <c r="C114" s="9"/>
      <c r="D114" s="9"/>
      <c r="E114" s="9"/>
      <c r="F114" s="9"/>
      <c r="G114" s="32"/>
      <c r="H114" s="32"/>
      <c r="I114" s="3"/>
      <c r="J114" s="3"/>
      <c r="K114" s="3"/>
      <c r="L114" s="3"/>
      <c r="M114" s="3"/>
      <c r="N114" s="3"/>
      <c r="O114" s="3"/>
      <c r="P114" s="3"/>
      <c r="Q114" s="3"/>
      <c r="R114" s="3"/>
      <c r="S114" s="3"/>
      <c r="U114" s="2"/>
      <c r="V114" s="3"/>
      <c r="X114" s="2"/>
    </row>
    <row r="115" spans="1:24" x14ac:dyDescent="0.25">
      <c r="A115" s="7"/>
      <c r="B115" s="7"/>
      <c r="C115" s="9"/>
      <c r="D115" s="9"/>
      <c r="E115" s="9"/>
      <c r="F115" s="9"/>
      <c r="G115" s="32"/>
      <c r="H115" s="32"/>
      <c r="I115" s="3"/>
      <c r="J115" s="3"/>
      <c r="K115" s="3"/>
      <c r="L115" s="3"/>
      <c r="M115" s="3"/>
      <c r="N115" s="3"/>
      <c r="O115" s="3"/>
      <c r="P115" s="3"/>
      <c r="Q115" s="3"/>
      <c r="R115" s="3"/>
      <c r="S115" s="3"/>
      <c r="U115" s="2"/>
      <c r="V115" s="3"/>
      <c r="X115" s="2"/>
    </row>
    <row r="116" spans="1:24" x14ac:dyDescent="0.25">
      <c r="A116" s="7"/>
      <c r="B116" s="7"/>
      <c r="C116" s="9"/>
      <c r="D116" s="9"/>
      <c r="E116" s="9"/>
      <c r="F116" s="9"/>
      <c r="G116" s="32"/>
      <c r="H116" s="32"/>
      <c r="I116" s="3"/>
      <c r="J116" s="3"/>
      <c r="K116" s="3"/>
      <c r="L116" s="3"/>
      <c r="M116" s="3"/>
      <c r="N116" s="3"/>
      <c r="O116" s="3"/>
      <c r="P116" s="3"/>
      <c r="Q116" s="3"/>
      <c r="R116" s="3"/>
      <c r="S116" s="3"/>
      <c r="U116" s="2"/>
      <c r="V116" s="3"/>
      <c r="X116" s="2"/>
    </row>
    <row r="117" spans="1:24" x14ac:dyDescent="0.25">
      <c r="A117" s="7" t="s">
        <v>49</v>
      </c>
      <c r="B117" s="7"/>
      <c r="C117" s="9"/>
      <c r="D117" s="11"/>
      <c r="E117" s="11"/>
      <c r="F117" s="11"/>
      <c r="G117" s="32"/>
      <c r="H117" s="32"/>
      <c r="I117" s="3"/>
      <c r="J117" s="3"/>
      <c r="K117" s="3"/>
      <c r="L117" s="3"/>
      <c r="M117" s="3"/>
      <c r="N117" s="3"/>
      <c r="O117" s="3"/>
      <c r="P117" s="3"/>
      <c r="Q117" s="3"/>
      <c r="R117" s="3"/>
      <c r="S117" s="3"/>
      <c r="U117" s="2"/>
      <c r="V117" s="3"/>
      <c r="X117" s="2"/>
    </row>
    <row r="118" spans="1:24" x14ac:dyDescent="0.25">
      <c r="A118" s="8"/>
      <c r="B118" s="8"/>
      <c r="C118" s="11"/>
      <c r="J118" s="4"/>
      <c r="K118" s="4"/>
      <c r="L118" s="4"/>
      <c r="M118" s="4"/>
      <c r="N118" s="4"/>
      <c r="O118" s="4"/>
      <c r="P118" s="4"/>
      <c r="Q118" s="4"/>
      <c r="R118" s="4"/>
      <c r="S118" s="4"/>
      <c r="T118" s="5"/>
      <c r="U118" s="6"/>
      <c r="V118" s="4"/>
      <c r="W118" s="5"/>
      <c r="X118" s="6"/>
    </row>
  </sheetData>
  <mergeCells count="2">
    <mergeCell ref="D4:F4"/>
    <mergeCell ref="G4:I4"/>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BDB93-E492-463B-9360-9F297AA07EE9}">
  <dimension ref="A2:AA118"/>
  <sheetViews>
    <sheetView zoomScale="90" zoomScaleNormal="90" workbookViewId="0">
      <pane ySplit="5" topLeftCell="A20" activePane="bottomLeft" state="frozen"/>
      <selection pane="bottomLeft" activeCell="C38" sqref="C38"/>
    </sheetView>
  </sheetViews>
  <sheetFormatPr baseColWidth="10" defaultColWidth="9.140625" defaultRowHeight="15" x14ac:dyDescent="0.25"/>
  <cols>
    <col min="1" max="1" width="20.42578125" customWidth="1"/>
    <col min="2" max="2" width="13.28515625" customWidth="1"/>
    <col min="3" max="3" width="60.7109375" style="1" customWidth="1"/>
    <col min="4" max="6" width="5.42578125" style="1" bestFit="1" customWidth="1"/>
    <col min="7" max="8" width="7.7109375" style="1" bestFit="1" customWidth="1"/>
    <col min="9" max="9" width="7.7109375" bestFit="1" customWidth="1"/>
    <col min="10" max="10" width="13.85546875" customWidth="1"/>
    <col min="11" max="11" width="12.7109375" customWidth="1"/>
    <col min="16" max="16" width="11.140625" bestFit="1" customWidth="1"/>
  </cols>
  <sheetData>
    <row r="2" spans="1:27" x14ac:dyDescent="0.25">
      <c r="A2" t="s">
        <v>0</v>
      </c>
      <c r="B2" s="1">
        <v>5.65</v>
      </c>
      <c r="C2" t="s">
        <v>1</v>
      </c>
    </row>
    <row r="3" spans="1:27" x14ac:dyDescent="0.25">
      <c r="A3" t="s">
        <v>2</v>
      </c>
      <c r="B3" s="1">
        <f>2*190</f>
        <v>380</v>
      </c>
      <c r="C3" t="s">
        <v>3</v>
      </c>
    </row>
    <row r="4" spans="1:27" x14ac:dyDescent="0.25">
      <c r="D4" s="44" t="s">
        <v>4</v>
      </c>
      <c r="E4" s="44"/>
      <c r="F4" s="44"/>
      <c r="G4" s="44" t="s">
        <v>5</v>
      </c>
      <c r="H4" s="44"/>
      <c r="I4" s="44"/>
      <c r="J4" t="s">
        <v>6</v>
      </c>
      <c r="M4" t="s">
        <v>7</v>
      </c>
      <c r="P4" t="s">
        <v>8</v>
      </c>
      <c r="S4" t="s">
        <v>9</v>
      </c>
      <c r="V4" t="s">
        <v>10</v>
      </c>
      <c r="Y4" t="s">
        <v>11</v>
      </c>
    </row>
    <row r="5" spans="1:27" x14ac:dyDescent="0.25">
      <c r="A5" s="21" t="s">
        <v>12</v>
      </c>
      <c r="B5" s="17" t="s">
        <v>13</v>
      </c>
      <c r="C5" s="16" t="s">
        <v>14</v>
      </c>
      <c r="D5" s="30" t="s">
        <v>15</v>
      </c>
      <c r="E5" s="30" t="s">
        <v>16</v>
      </c>
      <c r="F5" s="30" t="s">
        <v>17</v>
      </c>
      <c r="G5" s="30" t="s">
        <v>15</v>
      </c>
      <c r="H5" s="30" t="s">
        <v>16</v>
      </c>
      <c r="I5" s="30" t="s">
        <v>17</v>
      </c>
      <c r="J5" s="18" t="s">
        <v>18</v>
      </c>
      <c r="K5" s="18" t="s">
        <v>19</v>
      </c>
      <c r="L5" s="18" t="s">
        <v>20</v>
      </c>
      <c r="M5" s="18" t="s">
        <v>18</v>
      </c>
      <c r="N5" s="18" t="s">
        <v>19</v>
      </c>
      <c r="O5" s="18" t="s">
        <v>20</v>
      </c>
      <c r="P5" s="18" t="s">
        <v>18</v>
      </c>
      <c r="Q5" s="18" t="s">
        <v>19</v>
      </c>
      <c r="R5" s="18" t="s">
        <v>20</v>
      </c>
      <c r="S5" s="18" t="s">
        <v>18</v>
      </c>
      <c r="T5" s="18" t="s">
        <v>19</v>
      </c>
      <c r="U5" s="18" t="s">
        <v>20</v>
      </c>
      <c r="V5" s="18" t="s">
        <v>18</v>
      </c>
      <c r="W5" s="18" t="s">
        <v>19</v>
      </c>
      <c r="X5" s="18" t="s">
        <v>20</v>
      </c>
      <c r="Y5" s="18" t="s">
        <v>18</v>
      </c>
      <c r="Z5" s="18" t="s">
        <v>19</v>
      </c>
      <c r="AA5" s="24" t="s">
        <v>20</v>
      </c>
    </row>
    <row r="6" spans="1:27" x14ac:dyDescent="0.25">
      <c r="A6" s="37">
        <v>45861</v>
      </c>
      <c r="B6" s="38">
        <v>0.65694444444444444</v>
      </c>
      <c r="C6" s="9" t="s">
        <v>23</v>
      </c>
      <c r="D6" s="9" t="s">
        <v>22</v>
      </c>
      <c r="E6" s="9" t="s">
        <v>22</v>
      </c>
      <c r="F6" s="9" t="s">
        <v>22</v>
      </c>
      <c r="G6" s="32"/>
      <c r="H6" s="32"/>
      <c r="I6" s="29"/>
      <c r="J6" s="22"/>
      <c r="K6" s="22"/>
      <c r="L6" s="22"/>
      <c r="M6" s="22"/>
      <c r="N6" s="22"/>
      <c r="O6" s="22"/>
      <c r="P6" s="22"/>
      <c r="Q6" s="22"/>
      <c r="R6" s="22"/>
      <c r="S6" s="3"/>
      <c r="U6" s="2"/>
      <c r="V6" s="3"/>
      <c r="X6" s="2"/>
    </row>
    <row r="7" spans="1:27" x14ac:dyDescent="0.25">
      <c r="A7" s="37">
        <f>A6</f>
        <v>45861</v>
      </c>
      <c r="B7" s="38">
        <v>0.70833333333333337</v>
      </c>
      <c r="C7" s="9" t="s">
        <v>50</v>
      </c>
      <c r="D7" s="9" t="s">
        <v>22</v>
      </c>
      <c r="E7" s="9" t="s">
        <v>22</v>
      </c>
      <c r="F7" s="9" t="s">
        <v>22</v>
      </c>
      <c r="G7" s="31">
        <f>IF(D6="run",_xlfn.DAYS($A7,$A6),0)</f>
        <v>0</v>
      </c>
      <c r="H7" s="31">
        <f t="shared" ref="H7:I22" si="0">IF(E6="run",_xlfn.DAYS($A7,$A6),0)</f>
        <v>0</v>
      </c>
      <c r="I7" s="31">
        <f t="shared" si="0"/>
        <v>0</v>
      </c>
      <c r="J7" s="22"/>
      <c r="K7" s="22"/>
      <c r="L7" s="22"/>
      <c r="M7" s="22"/>
      <c r="N7" s="22"/>
      <c r="O7" s="22"/>
      <c r="P7" s="22"/>
      <c r="Q7" s="22"/>
      <c r="R7" s="22"/>
      <c r="S7" s="3"/>
      <c r="U7" s="2"/>
      <c r="V7" s="3"/>
      <c r="X7" s="2"/>
    </row>
    <row r="8" spans="1:27" ht="30" x14ac:dyDescent="0.25">
      <c r="A8" s="37">
        <v>45862</v>
      </c>
      <c r="B8" s="38" t="s">
        <v>51</v>
      </c>
      <c r="C8" s="9" t="s">
        <v>52</v>
      </c>
      <c r="D8" s="9" t="s">
        <v>22</v>
      </c>
      <c r="E8" s="9" t="s">
        <v>22</v>
      </c>
      <c r="F8" s="9" t="s">
        <v>22</v>
      </c>
      <c r="G8" s="31">
        <f t="shared" ref="G8:I23" si="1">IF(D7="run",_xlfn.DAYS($A8,$A7),0)</f>
        <v>1</v>
      </c>
      <c r="H8" s="31">
        <f t="shared" si="0"/>
        <v>1</v>
      </c>
      <c r="I8" s="31">
        <f t="shared" si="0"/>
        <v>1</v>
      </c>
      <c r="J8" s="22"/>
      <c r="K8" s="22"/>
      <c r="L8" s="22"/>
      <c r="M8" s="22"/>
      <c r="N8" s="22"/>
      <c r="O8" s="22"/>
      <c r="P8" s="22"/>
      <c r="Q8" s="22"/>
      <c r="R8" s="22"/>
      <c r="S8" s="3"/>
      <c r="U8" s="2"/>
      <c r="V8" s="3"/>
      <c r="X8" s="2"/>
    </row>
    <row r="9" spans="1:27" ht="17.25" customHeight="1" x14ac:dyDescent="0.25">
      <c r="A9" s="37">
        <f>A$8</f>
        <v>45862</v>
      </c>
      <c r="B9" s="38">
        <v>0.41319444444444442</v>
      </c>
      <c r="C9" s="9" t="s">
        <v>53</v>
      </c>
      <c r="D9" s="9" t="s">
        <v>22</v>
      </c>
      <c r="E9" s="9" t="s">
        <v>22</v>
      </c>
      <c r="F9" s="9" t="s">
        <v>22</v>
      </c>
      <c r="G9" s="31">
        <f t="shared" si="1"/>
        <v>0</v>
      </c>
      <c r="H9" s="31">
        <f t="shared" si="0"/>
        <v>0</v>
      </c>
      <c r="I9" s="31">
        <f t="shared" si="0"/>
        <v>0</v>
      </c>
      <c r="J9" s="22"/>
      <c r="K9" s="22"/>
      <c r="L9" s="22"/>
      <c r="M9" s="22"/>
      <c r="N9" s="22"/>
      <c r="O9" s="22"/>
      <c r="P9" s="22"/>
      <c r="Q9" s="22"/>
      <c r="R9" s="22"/>
      <c r="S9" s="3"/>
      <c r="U9" s="2"/>
      <c r="V9" s="3"/>
      <c r="X9" s="2"/>
    </row>
    <row r="10" spans="1:27" x14ac:dyDescent="0.25">
      <c r="A10" s="37">
        <f>A$8</f>
        <v>45862</v>
      </c>
      <c r="B10" s="38">
        <v>0.5625</v>
      </c>
      <c r="C10" s="9" t="s">
        <v>54</v>
      </c>
      <c r="D10" s="9" t="s">
        <v>22</v>
      </c>
      <c r="E10" s="9" t="s">
        <v>22</v>
      </c>
      <c r="F10" s="9" t="s">
        <v>22</v>
      </c>
      <c r="G10" s="31">
        <f t="shared" si="1"/>
        <v>0</v>
      </c>
      <c r="H10" s="31">
        <f t="shared" si="0"/>
        <v>0</v>
      </c>
      <c r="I10" s="31">
        <f t="shared" si="0"/>
        <v>0</v>
      </c>
      <c r="J10" s="22"/>
      <c r="K10" s="22"/>
      <c r="L10" s="22"/>
      <c r="M10" s="22"/>
      <c r="N10" s="22"/>
      <c r="O10" s="22"/>
      <c r="P10" s="22"/>
      <c r="Q10" s="22"/>
      <c r="R10" s="22"/>
      <c r="S10" s="3"/>
      <c r="U10" s="2"/>
      <c r="V10" s="3"/>
      <c r="X10" s="2"/>
    </row>
    <row r="11" spans="1:27" ht="34.5" customHeight="1" x14ac:dyDescent="0.25">
      <c r="A11" s="37">
        <v>45866</v>
      </c>
      <c r="B11" s="38" t="s">
        <v>55</v>
      </c>
      <c r="C11" s="9" t="s">
        <v>56</v>
      </c>
      <c r="D11" s="9" t="s">
        <v>57</v>
      </c>
      <c r="E11" s="9" t="s">
        <v>57</v>
      </c>
      <c r="F11" s="9" t="s">
        <v>57</v>
      </c>
      <c r="G11" s="31">
        <f t="shared" si="1"/>
        <v>4</v>
      </c>
      <c r="H11" s="31">
        <f t="shared" si="0"/>
        <v>4</v>
      </c>
      <c r="I11" s="31">
        <f t="shared" si="0"/>
        <v>4</v>
      </c>
      <c r="J11" s="22"/>
      <c r="K11" s="22"/>
      <c r="L11" s="22"/>
      <c r="M11" s="22"/>
      <c r="N11" s="22"/>
      <c r="O11" s="22"/>
      <c r="P11" s="22"/>
      <c r="Q11" s="22"/>
      <c r="R11" s="22"/>
      <c r="S11" s="3"/>
      <c r="U11" s="2"/>
      <c r="V11" s="3"/>
      <c r="X11" s="2"/>
    </row>
    <row r="12" spans="1:27" ht="34.5" customHeight="1" x14ac:dyDescent="0.25">
      <c r="A12" s="37">
        <v>45870</v>
      </c>
      <c r="B12" s="38">
        <v>0.37847222222222221</v>
      </c>
      <c r="C12" s="9" t="s">
        <v>58</v>
      </c>
      <c r="D12" s="9" t="s">
        <v>22</v>
      </c>
      <c r="E12" s="9" t="s">
        <v>22</v>
      </c>
      <c r="F12" s="9" t="s">
        <v>22</v>
      </c>
      <c r="G12" s="31">
        <f t="shared" si="1"/>
        <v>0</v>
      </c>
      <c r="H12" s="31">
        <f t="shared" si="0"/>
        <v>0</v>
      </c>
      <c r="I12" s="31">
        <f t="shared" si="0"/>
        <v>0</v>
      </c>
      <c r="J12" s="22"/>
      <c r="K12" s="22"/>
      <c r="L12" s="22"/>
      <c r="M12" s="22"/>
      <c r="N12" s="22"/>
      <c r="O12" s="22"/>
      <c r="P12" s="22"/>
      <c r="Q12" s="22"/>
      <c r="R12" s="22"/>
      <c r="S12" s="3"/>
      <c r="U12" s="2"/>
      <c r="V12" s="3"/>
      <c r="X12" s="2"/>
    </row>
    <row r="13" spans="1:27" x14ac:dyDescent="0.25">
      <c r="A13" s="37">
        <v>45880</v>
      </c>
      <c r="B13" s="38">
        <v>0.35069444444444442</v>
      </c>
      <c r="C13" s="9" t="s">
        <v>59</v>
      </c>
      <c r="D13" s="9" t="s">
        <v>22</v>
      </c>
      <c r="E13" s="9" t="s">
        <v>22</v>
      </c>
      <c r="F13" s="9" t="s">
        <v>22</v>
      </c>
      <c r="G13" s="31">
        <f t="shared" si="1"/>
        <v>10</v>
      </c>
      <c r="H13" s="31">
        <f t="shared" si="0"/>
        <v>10</v>
      </c>
      <c r="I13" s="31">
        <f t="shared" si="0"/>
        <v>10</v>
      </c>
      <c r="J13" s="22"/>
      <c r="K13" s="22"/>
      <c r="L13" s="22"/>
      <c r="M13" s="22"/>
      <c r="N13" s="22"/>
      <c r="O13" s="22"/>
      <c r="P13" s="22"/>
      <c r="Q13" s="22"/>
      <c r="R13" s="22"/>
      <c r="S13" s="3"/>
      <c r="U13" s="2"/>
      <c r="V13" s="3"/>
      <c r="X13" s="2"/>
    </row>
    <row r="14" spans="1:27" x14ac:dyDescent="0.25">
      <c r="A14" s="37">
        <v>45881</v>
      </c>
      <c r="B14" s="38">
        <v>0.33333333333333331</v>
      </c>
      <c r="C14" s="9" t="s">
        <v>60</v>
      </c>
      <c r="D14" s="9" t="s">
        <v>22</v>
      </c>
      <c r="E14" s="9" t="s">
        <v>22</v>
      </c>
      <c r="F14" s="9" t="s">
        <v>22</v>
      </c>
      <c r="G14" s="31">
        <f t="shared" si="1"/>
        <v>1</v>
      </c>
      <c r="H14" s="31">
        <f t="shared" si="0"/>
        <v>1</v>
      </c>
      <c r="I14" s="31">
        <f t="shared" si="0"/>
        <v>1</v>
      </c>
      <c r="J14" s="22"/>
      <c r="K14" s="22"/>
      <c r="L14" s="22"/>
      <c r="M14" s="22"/>
      <c r="N14" s="22"/>
      <c r="O14" s="22"/>
      <c r="P14" s="22"/>
      <c r="Q14" s="22"/>
      <c r="R14" s="22"/>
      <c r="S14" s="3"/>
      <c r="U14" s="2"/>
      <c r="V14" s="3"/>
      <c r="X14" s="2"/>
    </row>
    <row r="15" spans="1:27" x14ac:dyDescent="0.25">
      <c r="A15" s="37">
        <f>A$14</f>
        <v>45881</v>
      </c>
      <c r="B15" s="38">
        <v>0.4548611111111111</v>
      </c>
      <c r="C15" s="9" t="s">
        <v>61</v>
      </c>
      <c r="D15" s="9" t="s">
        <v>22</v>
      </c>
      <c r="E15" s="9" t="s">
        <v>22</v>
      </c>
      <c r="F15" s="9" t="s">
        <v>22</v>
      </c>
      <c r="G15" s="31">
        <f t="shared" si="1"/>
        <v>0</v>
      </c>
      <c r="H15" s="31">
        <f t="shared" si="0"/>
        <v>0</v>
      </c>
      <c r="I15" s="31">
        <f t="shared" si="0"/>
        <v>0</v>
      </c>
      <c r="J15" s="22"/>
      <c r="K15" s="22"/>
      <c r="L15" s="22"/>
      <c r="M15" s="22"/>
      <c r="N15" s="22"/>
      <c r="O15" s="22"/>
      <c r="P15" s="22"/>
      <c r="Q15" s="22"/>
      <c r="R15" s="22"/>
      <c r="S15" s="3"/>
      <c r="U15" s="2"/>
      <c r="V15" s="3"/>
      <c r="X15" s="2"/>
    </row>
    <row r="16" spans="1:27" ht="60" x14ac:dyDescent="0.25">
      <c r="A16" s="37">
        <v>45882</v>
      </c>
      <c r="B16" s="38">
        <v>0.41458333333333336</v>
      </c>
      <c r="C16" s="9" t="s">
        <v>62</v>
      </c>
      <c r="D16" s="9" t="s">
        <v>22</v>
      </c>
      <c r="E16" s="9" t="s">
        <v>22</v>
      </c>
      <c r="F16" s="9" t="s">
        <v>22</v>
      </c>
      <c r="G16" s="31">
        <f t="shared" si="1"/>
        <v>1</v>
      </c>
      <c r="H16" s="31">
        <f t="shared" si="0"/>
        <v>1</v>
      </c>
      <c r="I16" s="31">
        <f t="shared" si="0"/>
        <v>1</v>
      </c>
      <c r="J16" s="22"/>
      <c r="K16" s="22"/>
      <c r="L16" s="22"/>
      <c r="M16" s="22"/>
      <c r="N16" s="22"/>
      <c r="O16" s="22"/>
      <c r="P16" s="22"/>
      <c r="Q16" s="22"/>
      <c r="R16" s="22"/>
      <c r="S16" s="3"/>
      <c r="U16" s="2"/>
      <c r="V16" s="3"/>
      <c r="X16" s="2"/>
    </row>
    <row r="17" spans="1:24" ht="30" x14ac:dyDescent="0.25">
      <c r="A17" s="37">
        <f>A$16</f>
        <v>45882</v>
      </c>
      <c r="B17" s="38">
        <v>0.55902777777777779</v>
      </c>
      <c r="C17" s="9" t="s">
        <v>63</v>
      </c>
      <c r="D17" s="9" t="s">
        <v>22</v>
      </c>
      <c r="E17" s="9" t="s">
        <v>22</v>
      </c>
      <c r="F17" s="9" t="s">
        <v>22</v>
      </c>
      <c r="G17" s="31">
        <f t="shared" si="1"/>
        <v>0</v>
      </c>
      <c r="H17" s="31">
        <f t="shared" si="0"/>
        <v>0</v>
      </c>
      <c r="I17" s="31">
        <f t="shared" si="0"/>
        <v>0</v>
      </c>
      <c r="J17" s="23"/>
      <c r="K17" s="23"/>
      <c r="L17" s="23"/>
      <c r="M17" s="23"/>
      <c r="N17" s="23"/>
      <c r="O17" s="23"/>
      <c r="P17" s="23"/>
      <c r="Q17" s="23"/>
      <c r="R17" s="23"/>
      <c r="S17" s="3"/>
      <c r="U17" s="2"/>
      <c r="V17" s="3"/>
      <c r="X17" s="2"/>
    </row>
    <row r="18" spans="1:24" ht="30" x14ac:dyDescent="0.25">
      <c r="A18" s="37">
        <f t="shared" ref="A18:A19" si="2">A$16</f>
        <v>45882</v>
      </c>
      <c r="B18" s="28">
        <v>0.68611111111111112</v>
      </c>
      <c r="C18" s="9" t="s">
        <v>64</v>
      </c>
      <c r="D18" s="9" t="s">
        <v>22</v>
      </c>
      <c r="E18" s="9" t="s">
        <v>22</v>
      </c>
      <c r="F18" s="9" t="s">
        <v>22</v>
      </c>
      <c r="G18" s="31">
        <f t="shared" si="1"/>
        <v>0</v>
      </c>
      <c r="H18" s="31">
        <f t="shared" si="0"/>
        <v>0</v>
      </c>
      <c r="I18" s="31">
        <f t="shared" si="0"/>
        <v>0</v>
      </c>
      <c r="J18" s="22"/>
      <c r="K18" s="22"/>
      <c r="L18" s="22"/>
      <c r="M18" s="22"/>
      <c r="N18" s="22"/>
      <c r="O18" s="22"/>
      <c r="P18" s="22"/>
      <c r="Q18" s="22"/>
      <c r="R18" s="22"/>
      <c r="S18" s="3"/>
      <c r="U18" s="2"/>
      <c r="V18" s="3"/>
      <c r="X18" s="2"/>
    </row>
    <row r="19" spans="1:24" x14ac:dyDescent="0.25">
      <c r="A19" s="37">
        <f t="shared" si="2"/>
        <v>45882</v>
      </c>
      <c r="B19" s="38">
        <v>0.70347222222222228</v>
      </c>
      <c r="C19" s="20" t="s">
        <v>65</v>
      </c>
      <c r="D19" s="9" t="s">
        <v>22</v>
      </c>
      <c r="E19" s="9" t="s">
        <v>22</v>
      </c>
      <c r="F19" s="9" t="s">
        <v>22</v>
      </c>
      <c r="G19" s="31">
        <f t="shared" si="1"/>
        <v>0</v>
      </c>
      <c r="H19" s="31">
        <f t="shared" si="0"/>
        <v>0</v>
      </c>
      <c r="I19" s="31">
        <f t="shared" si="0"/>
        <v>0</v>
      </c>
      <c r="J19" s="22"/>
      <c r="K19" s="22"/>
      <c r="L19" s="22"/>
      <c r="M19" s="22"/>
      <c r="N19" s="22"/>
      <c r="O19" s="22"/>
      <c r="P19" s="22"/>
      <c r="Q19" s="22"/>
      <c r="R19" s="22"/>
      <c r="S19" s="3"/>
      <c r="U19" s="2"/>
      <c r="V19" s="3"/>
      <c r="X19" s="2"/>
    </row>
    <row r="20" spans="1:24" x14ac:dyDescent="0.25">
      <c r="A20" s="37">
        <v>45889</v>
      </c>
      <c r="B20" s="38">
        <v>0.40069444444444446</v>
      </c>
      <c r="C20" s="9" t="s">
        <v>66</v>
      </c>
      <c r="D20" s="9" t="s">
        <v>22</v>
      </c>
      <c r="E20" s="9" t="s">
        <v>22</v>
      </c>
      <c r="F20" s="9" t="s">
        <v>57</v>
      </c>
      <c r="G20" s="31">
        <f t="shared" si="1"/>
        <v>7</v>
      </c>
      <c r="H20" s="31">
        <f t="shared" si="0"/>
        <v>7</v>
      </c>
      <c r="I20" s="31">
        <f t="shared" si="0"/>
        <v>7</v>
      </c>
      <c r="J20" s="22"/>
      <c r="K20" s="22"/>
      <c r="L20" s="22"/>
      <c r="M20" s="22"/>
      <c r="N20" s="22"/>
      <c r="O20" s="22"/>
      <c r="P20" s="22"/>
      <c r="Q20" s="22"/>
      <c r="R20" s="22"/>
      <c r="S20" s="3"/>
      <c r="U20" s="2"/>
      <c r="V20" s="3"/>
      <c r="X20" s="2"/>
    </row>
    <row r="21" spans="1:24" x14ac:dyDescent="0.25">
      <c r="A21" s="37">
        <f>A$20</f>
        <v>45889</v>
      </c>
      <c r="B21" s="38">
        <v>0.42708333333333331</v>
      </c>
      <c r="C21" s="9" t="s">
        <v>67</v>
      </c>
      <c r="D21" s="9" t="s">
        <v>57</v>
      </c>
      <c r="E21" s="9" t="s">
        <v>57</v>
      </c>
      <c r="F21" s="9" t="s">
        <v>57</v>
      </c>
      <c r="G21" s="31">
        <f t="shared" si="1"/>
        <v>0</v>
      </c>
      <c r="H21" s="31">
        <f t="shared" si="0"/>
        <v>0</v>
      </c>
      <c r="I21" s="31">
        <f t="shared" si="0"/>
        <v>0</v>
      </c>
      <c r="J21" s="22"/>
      <c r="K21" s="22"/>
      <c r="L21" s="22"/>
      <c r="M21" s="22"/>
      <c r="N21" s="22"/>
      <c r="O21" s="22"/>
      <c r="P21" s="22"/>
      <c r="Q21" s="22"/>
      <c r="R21" s="22"/>
      <c r="S21" s="3"/>
      <c r="U21" s="2"/>
      <c r="V21" s="3"/>
      <c r="X21" s="2"/>
    </row>
    <row r="22" spans="1:24" x14ac:dyDescent="0.25">
      <c r="A22" s="37">
        <f>A$20</f>
        <v>45889</v>
      </c>
      <c r="B22" s="38">
        <v>0.47083333333333333</v>
      </c>
      <c r="C22" s="9" t="s">
        <v>68</v>
      </c>
      <c r="D22" s="9" t="s">
        <v>22</v>
      </c>
      <c r="E22" s="9" t="s">
        <v>22</v>
      </c>
      <c r="F22" s="9" t="s">
        <v>22</v>
      </c>
      <c r="G22" s="31">
        <f t="shared" si="1"/>
        <v>0</v>
      </c>
      <c r="H22" s="31">
        <f t="shared" si="0"/>
        <v>0</v>
      </c>
      <c r="I22" s="31">
        <f t="shared" si="0"/>
        <v>0</v>
      </c>
      <c r="J22" s="22"/>
      <c r="K22" s="22"/>
      <c r="L22" s="22"/>
      <c r="M22" s="22"/>
      <c r="N22" s="22"/>
      <c r="O22" s="22"/>
      <c r="P22" s="22"/>
      <c r="Q22" s="22"/>
      <c r="R22" s="22"/>
      <c r="S22" s="3"/>
      <c r="U22" s="2"/>
      <c r="V22" s="3"/>
      <c r="X22" s="2"/>
    </row>
    <row r="23" spans="1:24" x14ac:dyDescent="0.25">
      <c r="A23" s="37">
        <v>45894</v>
      </c>
      <c r="B23" s="38">
        <v>0.49513888888888891</v>
      </c>
      <c r="C23" s="9" t="s">
        <v>69</v>
      </c>
      <c r="D23" s="9" t="s">
        <v>57</v>
      </c>
      <c r="E23" s="9" t="s">
        <v>57</v>
      </c>
      <c r="F23" s="9" t="s">
        <v>57</v>
      </c>
      <c r="G23" s="31">
        <f t="shared" si="1"/>
        <v>5</v>
      </c>
      <c r="H23" s="31">
        <f t="shared" si="1"/>
        <v>5</v>
      </c>
      <c r="I23" s="31">
        <f t="shared" si="1"/>
        <v>5</v>
      </c>
      <c r="J23" s="22"/>
      <c r="K23" s="22"/>
      <c r="L23" s="22"/>
      <c r="M23" s="22"/>
      <c r="N23" s="22"/>
      <c r="O23" s="22"/>
      <c r="P23" s="22"/>
      <c r="Q23" s="22"/>
      <c r="R23" s="22"/>
      <c r="S23" s="3"/>
      <c r="U23" s="2"/>
      <c r="V23" s="3"/>
      <c r="X23" s="2"/>
    </row>
    <row r="24" spans="1:24" x14ac:dyDescent="0.25">
      <c r="A24" s="37">
        <f>A23</f>
        <v>45894</v>
      </c>
      <c r="B24" s="38">
        <v>0.51249999999999996</v>
      </c>
      <c r="C24" s="9" t="s">
        <v>70</v>
      </c>
      <c r="D24" s="9" t="s">
        <v>57</v>
      </c>
      <c r="E24" s="9" t="s">
        <v>22</v>
      </c>
      <c r="F24" s="9" t="s">
        <v>57</v>
      </c>
      <c r="G24" s="31">
        <f t="shared" ref="G24:I25" si="3">IF(D23="run",_xlfn.DAYS($A24,$A23),0)</f>
        <v>0</v>
      </c>
      <c r="H24" s="31">
        <f t="shared" si="3"/>
        <v>0</v>
      </c>
      <c r="I24" s="31">
        <f t="shared" si="3"/>
        <v>0</v>
      </c>
      <c r="J24" s="22"/>
      <c r="K24" s="22"/>
      <c r="L24" s="22"/>
      <c r="M24" s="22"/>
      <c r="N24" s="22"/>
      <c r="O24" s="22"/>
      <c r="P24" s="22"/>
      <c r="Q24" s="22"/>
      <c r="R24" s="22"/>
      <c r="S24" s="3"/>
      <c r="U24" s="2"/>
      <c r="V24" s="3"/>
      <c r="X24" s="2"/>
    </row>
    <row r="25" spans="1:24" x14ac:dyDescent="0.25">
      <c r="A25" s="37">
        <v>45896</v>
      </c>
      <c r="B25" s="38">
        <v>0.42638888888888887</v>
      </c>
      <c r="C25" s="9" t="s">
        <v>71</v>
      </c>
      <c r="D25" s="9" t="s">
        <v>57</v>
      </c>
      <c r="E25" s="9" t="s">
        <v>57</v>
      </c>
      <c r="F25" s="9" t="s">
        <v>57</v>
      </c>
      <c r="G25" s="31">
        <f t="shared" si="3"/>
        <v>0</v>
      </c>
      <c r="H25" s="31">
        <f t="shared" si="3"/>
        <v>2</v>
      </c>
      <c r="I25" s="31">
        <f t="shared" si="3"/>
        <v>0</v>
      </c>
      <c r="J25" s="22"/>
      <c r="K25" s="22"/>
      <c r="L25" s="22"/>
      <c r="M25" s="22"/>
      <c r="N25" s="22"/>
      <c r="O25" s="22"/>
      <c r="P25" s="22"/>
      <c r="Q25" s="22"/>
      <c r="R25" s="22"/>
      <c r="S25" s="3"/>
      <c r="U25" s="2"/>
      <c r="V25" s="3"/>
      <c r="X25" s="2"/>
    </row>
    <row r="26" spans="1:24" x14ac:dyDescent="0.25">
      <c r="A26" s="15"/>
      <c r="B26" s="19"/>
      <c r="C26" s="9"/>
      <c r="D26" s="9"/>
      <c r="E26" s="9"/>
      <c r="F26" s="9"/>
      <c r="G26" s="32"/>
      <c r="H26" s="32"/>
      <c r="I26" s="22"/>
      <c r="J26" s="22"/>
      <c r="K26" s="22"/>
      <c r="L26" s="22"/>
      <c r="M26" s="22"/>
      <c r="N26" s="22"/>
      <c r="O26" s="22"/>
      <c r="P26" s="22"/>
      <c r="Q26" s="22"/>
      <c r="R26" s="22"/>
      <c r="S26" s="3"/>
      <c r="U26" s="2"/>
      <c r="V26" s="3"/>
      <c r="X26" s="2"/>
    </row>
    <row r="27" spans="1:24" x14ac:dyDescent="0.25">
      <c r="A27" s="7"/>
      <c r="B27" s="19"/>
      <c r="C27" s="9"/>
      <c r="D27" s="9"/>
      <c r="E27" s="9"/>
      <c r="F27" s="33" t="s">
        <v>72</v>
      </c>
      <c r="G27" s="32">
        <f>SUM(G6:G25)*24</f>
        <v>696</v>
      </c>
      <c r="H27" s="32">
        <f>SUM(H6:H25)*24</f>
        <v>744</v>
      </c>
      <c r="I27" s="32">
        <f>SUM(I6:I25)*24</f>
        <v>696</v>
      </c>
      <c r="J27" s="22"/>
      <c r="K27" s="22"/>
      <c r="L27" s="22"/>
      <c r="M27" s="22"/>
      <c r="N27" s="22"/>
      <c r="O27" s="22"/>
      <c r="P27" s="22"/>
      <c r="Q27" s="22"/>
      <c r="R27" s="22"/>
      <c r="S27" s="3"/>
      <c r="U27" s="2"/>
      <c r="V27" s="3"/>
      <c r="X27" s="2"/>
    </row>
    <row r="28" spans="1:24" x14ac:dyDescent="0.25">
      <c r="A28" s="15"/>
      <c r="B28" s="19"/>
      <c r="C28" s="9"/>
      <c r="D28" s="9"/>
      <c r="E28" s="9"/>
      <c r="F28" s="33" t="s">
        <v>73</v>
      </c>
      <c r="G28" s="32">
        <f>G27*60*60/$B2</f>
        <v>443469.02654867253</v>
      </c>
      <c r="H28" s="32">
        <f>H27*60*60/$B2</f>
        <v>474053.09734513273</v>
      </c>
      <c r="I28" s="32">
        <f>I27*60*60/$B2</f>
        <v>443469.02654867253</v>
      </c>
      <c r="J28" s="22"/>
      <c r="K28" s="22"/>
      <c r="L28" s="22"/>
      <c r="M28" s="22"/>
      <c r="N28" s="22"/>
      <c r="O28" s="22"/>
      <c r="P28" s="22"/>
      <c r="Q28" s="22"/>
      <c r="R28" s="22"/>
      <c r="S28" s="3"/>
      <c r="U28" s="2"/>
      <c r="V28" s="3"/>
      <c r="X28" s="2"/>
    </row>
    <row r="29" spans="1:24" x14ac:dyDescent="0.25">
      <c r="A29" s="7"/>
      <c r="B29" s="19"/>
      <c r="C29" s="9"/>
      <c r="D29" s="34"/>
      <c r="E29" s="34"/>
      <c r="F29" s="35" t="s">
        <v>74</v>
      </c>
      <c r="G29" s="36">
        <f>G28*$B3/1000000</f>
        <v>168.51823008849556</v>
      </c>
      <c r="H29" s="36">
        <f>H28*$B3/1000000</f>
        <v>180.14017699115044</v>
      </c>
      <c r="I29" s="36">
        <f>I28*$B3/1000000</f>
        <v>168.51823008849556</v>
      </c>
      <c r="J29" s="22"/>
      <c r="K29" s="22"/>
      <c r="L29" s="22"/>
      <c r="M29" s="22"/>
      <c r="N29" s="22"/>
      <c r="O29" s="22"/>
      <c r="P29" s="22"/>
      <c r="Q29" s="22"/>
      <c r="R29" s="22"/>
      <c r="S29" s="3"/>
      <c r="U29" s="2"/>
      <c r="V29" s="3"/>
      <c r="X29" s="2"/>
    </row>
    <row r="30" spans="1:24" x14ac:dyDescent="0.25">
      <c r="A30" s="7"/>
      <c r="B30" s="19"/>
      <c r="C30" s="9"/>
      <c r="D30" s="9"/>
      <c r="E30" s="9"/>
      <c r="F30" s="9"/>
      <c r="G30" s="32"/>
      <c r="H30" s="32"/>
      <c r="I30" s="3"/>
      <c r="J30" s="22"/>
      <c r="K30" s="22"/>
      <c r="L30" s="22"/>
      <c r="M30" s="22"/>
      <c r="N30" s="22"/>
      <c r="O30" s="22"/>
      <c r="P30" s="22"/>
      <c r="Q30" s="22"/>
      <c r="R30" s="22"/>
      <c r="S30" s="3"/>
      <c r="U30" s="2"/>
      <c r="V30" s="3"/>
      <c r="X30" s="2"/>
    </row>
    <row r="31" spans="1:24" x14ac:dyDescent="0.25">
      <c r="A31" s="15">
        <v>45952</v>
      </c>
      <c r="B31" s="19">
        <v>0.42569444444444443</v>
      </c>
      <c r="C31" s="9" t="s">
        <v>75</v>
      </c>
      <c r="D31" s="9"/>
      <c r="E31" s="9"/>
      <c r="F31" s="9"/>
      <c r="G31" s="32"/>
      <c r="H31" s="32"/>
      <c r="I31" s="3"/>
      <c r="J31" s="3"/>
      <c r="K31" s="3"/>
      <c r="L31" s="3"/>
      <c r="M31" s="3"/>
      <c r="N31" s="3"/>
      <c r="O31" s="3"/>
      <c r="P31" s="3"/>
      <c r="Q31" s="3"/>
      <c r="R31" s="3"/>
      <c r="S31" s="3"/>
      <c r="U31" s="2"/>
      <c r="V31" s="3"/>
      <c r="X31" s="2"/>
    </row>
    <row r="32" spans="1:24" ht="16.5" customHeight="1" x14ac:dyDescent="0.25">
      <c r="A32" s="7"/>
      <c r="B32" s="19">
        <v>0.44444444444444442</v>
      </c>
      <c r="C32" s="9" t="s">
        <v>76</v>
      </c>
      <c r="D32" s="9"/>
      <c r="E32" s="9"/>
      <c r="F32" s="9"/>
      <c r="G32" s="32"/>
      <c r="H32" s="32"/>
      <c r="I32" s="22"/>
      <c r="J32" s="3"/>
      <c r="K32" s="3"/>
      <c r="L32" s="3"/>
      <c r="M32" s="3"/>
      <c r="N32" s="3"/>
      <c r="O32" s="3"/>
      <c r="P32" s="3"/>
      <c r="Q32" s="3"/>
      <c r="R32" s="3"/>
      <c r="S32" s="3"/>
      <c r="U32" s="2"/>
      <c r="V32" s="3"/>
      <c r="X32" s="2"/>
    </row>
    <row r="33" spans="1:24" x14ac:dyDescent="0.25">
      <c r="A33" s="7"/>
      <c r="B33" s="19">
        <v>0.45833333333333331</v>
      </c>
      <c r="C33" s="9" t="s">
        <v>77</v>
      </c>
      <c r="D33" s="9"/>
      <c r="E33" s="9"/>
      <c r="F33" s="9"/>
      <c r="G33" s="32"/>
      <c r="H33" s="32"/>
      <c r="I33" s="22"/>
      <c r="J33" s="22"/>
      <c r="K33" s="22"/>
      <c r="L33" s="22"/>
      <c r="M33" s="22"/>
      <c r="N33" s="22"/>
      <c r="O33" s="22"/>
      <c r="P33" s="22"/>
      <c r="Q33" s="22"/>
      <c r="R33" s="22"/>
      <c r="S33" s="3"/>
      <c r="U33" s="2"/>
      <c r="V33" s="3"/>
      <c r="X33" s="2"/>
    </row>
    <row r="34" spans="1:24" ht="17.25" customHeight="1" x14ac:dyDescent="0.25">
      <c r="A34" s="15">
        <v>45954</v>
      </c>
      <c r="B34" s="19">
        <v>0.32291666666666669</v>
      </c>
      <c r="C34" s="9" t="s">
        <v>78</v>
      </c>
      <c r="D34" s="9"/>
      <c r="E34" s="9"/>
      <c r="F34" s="9"/>
      <c r="G34" s="32"/>
      <c r="H34" s="32"/>
      <c r="I34" s="22"/>
      <c r="J34" s="22"/>
      <c r="K34" s="22"/>
      <c r="L34" s="22"/>
      <c r="M34" s="22"/>
      <c r="N34" s="22"/>
      <c r="O34" s="22"/>
      <c r="P34" s="22"/>
      <c r="Q34" s="22"/>
      <c r="R34" s="22"/>
      <c r="S34" s="3"/>
      <c r="U34" s="2"/>
      <c r="V34" s="3"/>
      <c r="X34" s="2"/>
    </row>
    <row r="35" spans="1:24" ht="30" x14ac:dyDescent="0.25">
      <c r="A35" s="15">
        <v>45959</v>
      </c>
      <c r="B35" s="19">
        <v>0.58680555555555558</v>
      </c>
      <c r="C35" s="9" t="s">
        <v>79</v>
      </c>
      <c r="D35" s="9"/>
      <c r="E35" s="9"/>
      <c r="F35" s="9"/>
      <c r="G35" s="32"/>
      <c r="H35" s="32"/>
      <c r="I35" s="22"/>
      <c r="J35" s="22"/>
      <c r="K35" s="22"/>
      <c r="L35" s="22"/>
      <c r="M35" s="22"/>
      <c r="N35" s="22"/>
      <c r="O35" s="22"/>
      <c r="P35" s="22"/>
      <c r="Q35" s="22"/>
      <c r="R35" s="22"/>
      <c r="S35" s="3"/>
      <c r="U35" s="2"/>
      <c r="V35" s="3"/>
      <c r="X35" s="2"/>
    </row>
    <row r="36" spans="1:24" x14ac:dyDescent="0.25">
      <c r="A36" s="15">
        <v>45968</v>
      </c>
      <c r="B36" s="19">
        <v>0.4909722222222222</v>
      </c>
      <c r="C36" s="9" t="s">
        <v>80</v>
      </c>
      <c r="D36" s="9"/>
      <c r="E36" s="9"/>
      <c r="F36" s="9"/>
      <c r="G36" s="32"/>
      <c r="H36" s="32"/>
      <c r="I36" s="22"/>
      <c r="J36" s="22"/>
      <c r="K36" s="22"/>
      <c r="L36" s="22"/>
      <c r="M36" s="22"/>
      <c r="N36" s="22"/>
      <c r="O36" s="22"/>
      <c r="P36" s="22"/>
      <c r="Q36" s="22"/>
      <c r="R36" s="22"/>
      <c r="S36" s="3"/>
      <c r="U36" s="2"/>
      <c r="V36" s="3"/>
      <c r="X36" s="2"/>
    </row>
    <row r="37" spans="1:24" x14ac:dyDescent="0.25">
      <c r="A37" s="15">
        <v>45971</v>
      </c>
      <c r="B37" s="19">
        <v>0.66666666666666663</v>
      </c>
      <c r="C37" s="9" t="s">
        <v>81</v>
      </c>
      <c r="D37" s="9"/>
      <c r="E37" s="9"/>
      <c r="F37" s="9"/>
      <c r="G37" s="32"/>
      <c r="H37" s="32"/>
      <c r="I37" s="22"/>
      <c r="J37" s="22"/>
      <c r="K37" s="22"/>
      <c r="L37" s="22"/>
      <c r="M37" s="22"/>
      <c r="N37" s="22"/>
      <c r="O37" s="22"/>
      <c r="P37" s="22"/>
      <c r="Q37" s="22"/>
      <c r="R37" s="22"/>
      <c r="S37" s="3"/>
      <c r="U37" s="2"/>
      <c r="V37" s="3"/>
      <c r="X37" s="2"/>
    </row>
    <row r="38" spans="1:24" x14ac:dyDescent="0.25">
      <c r="A38" s="15"/>
      <c r="B38" s="19"/>
      <c r="C38" s="9"/>
      <c r="D38" s="9"/>
      <c r="E38" s="9"/>
      <c r="F38" s="9"/>
      <c r="G38" s="32"/>
      <c r="H38" s="32"/>
      <c r="I38" s="22"/>
      <c r="J38" s="22"/>
      <c r="K38" s="22"/>
      <c r="L38" s="22"/>
      <c r="M38" s="22"/>
      <c r="N38" s="22"/>
      <c r="O38" s="22"/>
      <c r="P38" s="22"/>
      <c r="Q38" s="22"/>
      <c r="R38" s="22"/>
      <c r="S38" s="3"/>
      <c r="U38" s="2"/>
      <c r="V38" s="3"/>
      <c r="X38" s="2"/>
    </row>
    <row r="39" spans="1:24" x14ac:dyDescent="0.25">
      <c r="A39" s="15"/>
      <c r="B39" s="19"/>
      <c r="C39" s="9"/>
      <c r="D39" s="9"/>
      <c r="E39" s="9"/>
      <c r="F39" s="9"/>
      <c r="G39" s="32"/>
      <c r="H39" s="32"/>
      <c r="I39" s="22"/>
      <c r="J39" s="22"/>
      <c r="K39" s="22"/>
      <c r="L39" s="22"/>
      <c r="M39" s="22"/>
      <c r="N39" s="22"/>
      <c r="O39" s="22"/>
      <c r="P39" s="22"/>
      <c r="Q39" s="22"/>
      <c r="R39" s="22"/>
      <c r="S39" s="3"/>
      <c r="U39" s="2"/>
      <c r="V39" s="3"/>
      <c r="X39" s="2"/>
    </row>
    <row r="40" spans="1:24" x14ac:dyDescent="0.25">
      <c r="A40" s="15"/>
      <c r="B40" s="19"/>
      <c r="C40" s="9"/>
      <c r="D40" s="9"/>
      <c r="E40" s="9"/>
      <c r="F40" s="9"/>
      <c r="G40" s="32"/>
      <c r="H40" s="32"/>
      <c r="I40" s="22"/>
      <c r="J40" s="22"/>
      <c r="K40" s="22"/>
      <c r="L40" s="22"/>
      <c r="M40" s="22"/>
      <c r="N40" s="22"/>
      <c r="O40" s="22"/>
      <c r="P40" s="22"/>
      <c r="Q40" s="22"/>
      <c r="R40" s="22"/>
      <c r="S40" s="3"/>
      <c r="U40" s="2"/>
      <c r="V40" s="3"/>
      <c r="X40" s="2"/>
    </row>
    <row r="41" spans="1:24" x14ac:dyDescent="0.25">
      <c r="A41" s="15"/>
      <c r="B41" s="19"/>
      <c r="C41" s="9"/>
      <c r="D41" s="9"/>
      <c r="E41" s="9"/>
      <c r="F41" s="9"/>
      <c r="G41" s="32"/>
      <c r="H41" s="32"/>
      <c r="I41" s="22"/>
      <c r="J41" s="22"/>
      <c r="K41" s="22"/>
      <c r="L41" s="22"/>
      <c r="M41" s="22"/>
      <c r="N41" s="22"/>
      <c r="O41" s="22"/>
      <c r="P41" s="22"/>
      <c r="Q41" s="22"/>
      <c r="R41" s="22"/>
      <c r="S41" s="3"/>
      <c r="U41" s="2"/>
      <c r="V41" s="3"/>
      <c r="X41" s="2"/>
    </row>
    <row r="42" spans="1:24" x14ac:dyDescent="0.25">
      <c r="A42" s="15"/>
      <c r="B42" s="19"/>
      <c r="C42" s="9"/>
      <c r="D42" s="9"/>
      <c r="E42" s="9"/>
      <c r="F42" s="9"/>
      <c r="G42" s="32"/>
      <c r="H42" s="32"/>
      <c r="I42" s="22"/>
      <c r="J42" s="22"/>
      <c r="K42" s="22"/>
      <c r="L42" s="22"/>
      <c r="M42" s="22"/>
      <c r="N42" s="22"/>
      <c r="O42" s="22"/>
      <c r="P42" s="22"/>
      <c r="Q42" s="22"/>
      <c r="R42" s="22"/>
      <c r="S42" s="3"/>
      <c r="U42" s="2"/>
      <c r="V42" s="3"/>
      <c r="X42" s="2"/>
    </row>
    <row r="43" spans="1:24" x14ac:dyDescent="0.25">
      <c r="A43" s="15"/>
      <c r="B43" s="19"/>
      <c r="C43" s="9"/>
      <c r="D43" s="9"/>
      <c r="E43" s="9"/>
      <c r="F43" s="9"/>
      <c r="G43" s="32"/>
      <c r="H43" s="32"/>
      <c r="I43" s="22"/>
      <c r="J43" s="22"/>
      <c r="K43" s="22"/>
      <c r="L43" s="22"/>
      <c r="M43" s="22"/>
      <c r="N43" s="22"/>
      <c r="O43" s="22"/>
      <c r="P43" s="22"/>
      <c r="Q43" s="22"/>
      <c r="R43" s="22"/>
      <c r="S43" s="3"/>
      <c r="U43" s="2"/>
      <c r="V43" s="3"/>
      <c r="X43" s="2"/>
    </row>
    <row r="44" spans="1:24" x14ac:dyDescent="0.25">
      <c r="A44" s="15"/>
      <c r="B44" s="19"/>
      <c r="C44" s="9"/>
      <c r="D44" s="9"/>
      <c r="E44" s="9"/>
      <c r="F44" s="9"/>
      <c r="G44" s="32"/>
      <c r="H44" s="32"/>
      <c r="I44" s="22"/>
      <c r="J44" s="22"/>
      <c r="K44" s="22"/>
      <c r="L44" s="22"/>
      <c r="M44" s="22"/>
      <c r="N44" s="22"/>
      <c r="O44" s="22"/>
      <c r="P44" s="22"/>
      <c r="Q44" s="22"/>
      <c r="R44" s="22"/>
      <c r="S44" s="3"/>
      <c r="U44" s="2"/>
      <c r="V44" s="3"/>
      <c r="X44" s="2"/>
    </row>
    <row r="45" spans="1:24" x14ac:dyDescent="0.25">
      <c r="A45" s="15"/>
      <c r="B45" s="19"/>
      <c r="C45" s="9"/>
      <c r="D45" s="9"/>
      <c r="E45" s="9"/>
      <c r="F45" s="9"/>
      <c r="G45" s="32"/>
      <c r="H45" s="32"/>
      <c r="I45" s="22"/>
      <c r="J45" s="22"/>
      <c r="K45" s="22"/>
      <c r="L45" s="22"/>
      <c r="M45" s="22"/>
      <c r="N45" s="22"/>
      <c r="O45" s="22"/>
      <c r="P45" s="22"/>
      <c r="Q45" s="22"/>
      <c r="R45" s="22"/>
      <c r="S45" s="3"/>
      <c r="U45" s="2"/>
      <c r="V45" s="3"/>
      <c r="X45" s="2"/>
    </row>
    <row r="46" spans="1:24" x14ac:dyDescent="0.25">
      <c r="A46" s="15"/>
      <c r="B46" s="19"/>
      <c r="C46" s="9"/>
      <c r="D46" s="9"/>
      <c r="E46" s="9"/>
      <c r="F46" s="9"/>
      <c r="G46" s="32"/>
      <c r="H46" s="32"/>
      <c r="I46" s="22"/>
      <c r="J46" s="22"/>
      <c r="K46" s="22"/>
      <c r="L46" s="22"/>
      <c r="M46" s="22"/>
      <c r="N46" s="22"/>
      <c r="O46" s="22"/>
      <c r="P46" s="22"/>
      <c r="Q46" s="22"/>
      <c r="R46" s="22"/>
      <c r="S46" s="3"/>
      <c r="U46" s="2"/>
      <c r="V46" s="3"/>
      <c r="X46" s="2"/>
    </row>
    <row r="47" spans="1:24" x14ac:dyDescent="0.25">
      <c r="A47" s="15"/>
      <c r="B47" s="19"/>
      <c r="C47" s="9"/>
      <c r="D47" s="9"/>
      <c r="E47" s="9"/>
      <c r="F47" s="9"/>
      <c r="G47" s="32"/>
      <c r="H47" s="32"/>
      <c r="I47" s="22"/>
      <c r="J47" s="22"/>
      <c r="K47" s="22"/>
      <c r="L47" s="22"/>
      <c r="M47" s="22"/>
      <c r="N47" s="22"/>
      <c r="O47" s="22"/>
      <c r="P47" s="22"/>
      <c r="Q47" s="22"/>
      <c r="R47" s="22"/>
      <c r="S47" s="3"/>
      <c r="U47" s="2"/>
      <c r="V47" s="3"/>
      <c r="X47" s="2"/>
    </row>
    <row r="48" spans="1:24" x14ac:dyDescent="0.25">
      <c r="A48" s="15"/>
      <c r="B48" s="19"/>
      <c r="C48" s="9"/>
      <c r="D48" s="9"/>
      <c r="E48" s="9"/>
      <c r="F48" s="9"/>
      <c r="G48" s="32"/>
      <c r="H48" s="32"/>
      <c r="I48" s="22"/>
      <c r="J48" s="22"/>
      <c r="K48" s="22"/>
      <c r="L48" s="22"/>
      <c r="M48" s="22"/>
      <c r="N48" s="22"/>
      <c r="O48" s="22"/>
      <c r="P48" s="22"/>
      <c r="Q48" s="22"/>
      <c r="R48" s="22"/>
      <c r="S48" s="3"/>
      <c r="U48" s="2"/>
      <c r="V48" s="3"/>
      <c r="X48" s="2"/>
    </row>
    <row r="49" spans="1:24" x14ac:dyDescent="0.25">
      <c r="A49" s="15"/>
      <c r="B49" s="19"/>
      <c r="C49" s="9"/>
      <c r="D49" s="9"/>
      <c r="E49" s="9"/>
      <c r="F49" s="9"/>
      <c r="G49" s="32"/>
      <c r="H49" s="32"/>
      <c r="I49" s="22"/>
      <c r="J49" s="22"/>
      <c r="K49" s="22"/>
      <c r="L49" s="22"/>
      <c r="M49" s="22"/>
      <c r="N49" s="22"/>
      <c r="O49" s="22"/>
      <c r="P49" s="22"/>
      <c r="Q49" s="22"/>
      <c r="R49" s="22"/>
      <c r="S49" s="3"/>
      <c r="U49" s="2"/>
      <c r="V49" s="3"/>
      <c r="X49" s="2"/>
    </row>
    <row r="50" spans="1:24" x14ac:dyDescent="0.25">
      <c r="A50" s="15"/>
      <c r="B50" s="19"/>
      <c r="C50" s="9"/>
      <c r="D50" s="9"/>
      <c r="E50" s="9"/>
      <c r="F50" s="9"/>
      <c r="G50" s="32"/>
      <c r="H50" s="32"/>
      <c r="I50" s="22"/>
      <c r="J50" s="22"/>
      <c r="K50" s="22"/>
      <c r="L50" s="22"/>
      <c r="M50" s="22"/>
      <c r="N50" s="22"/>
      <c r="O50" s="22"/>
      <c r="P50" s="22"/>
      <c r="Q50" s="22"/>
      <c r="R50" s="22"/>
      <c r="S50" s="3"/>
      <c r="U50" s="2"/>
      <c r="V50" s="3"/>
      <c r="X50" s="2"/>
    </row>
    <row r="51" spans="1:24" x14ac:dyDescent="0.25">
      <c r="A51" s="15"/>
      <c r="B51" s="19"/>
      <c r="C51" s="9"/>
      <c r="D51" s="9"/>
      <c r="E51" s="9"/>
      <c r="F51" s="9"/>
      <c r="G51" s="32"/>
      <c r="H51" s="32"/>
      <c r="I51" s="22"/>
      <c r="J51" s="22"/>
      <c r="K51" s="22"/>
      <c r="L51" s="22"/>
      <c r="M51" s="22"/>
      <c r="N51" s="22"/>
      <c r="O51" s="22"/>
      <c r="P51" s="22"/>
      <c r="Q51" s="22"/>
      <c r="R51" s="22"/>
      <c r="S51" s="3"/>
      <c r="U51" s="2"/>
      <c r="V51" s="3"/>
      <c r="X51" s="2"/>
    </row>
    <row r="52" spans="1:24" x14ac:dyDescent="0.25">
      <c r="A52" s="15"/>
      <c r="B52" s="19"/>
      <c r="C52" s="9"/>
      <c r="D52" s="9"/>
      <c r="E52" s="9"/>
      <c r="F52" s="9"/>
      <c r="G52" s="32"/>
      <c r="H52" s="32"/>
      <c r="I52" s="22"/>
      <c r="J52" s="22"/>
      <c r="K52" s="22"/>
      <c r="L52" s="22"/>
      <c r="M52" s="22"/>
      <c r="N52" s="22"/>
      <c r="O52" s="22"/>
      <c r="P52" s="22"/>
      <c r="Q52" s="22"/>
      <c r="R52" s="22"/>
      <c r="S52" s="3"/>
      <c r="U52" s="2"/>
      <c r="V52" s="3"/>
      <c r="X52" s="2"/>
    </row>
    <row r="53" spans="1:24" x14ac:dyDescent="0.25">
      <c r="A53" s="15"/>
      <c r="B53" s="19"/>
      <c r="C53" s="9"/>
      <c r="D53" s="9"/>
      <c r="E53" s="9"/>
      <c r="F53" s="9"/>
      <c r="G53" s="32"/>
      <c r="H53" s="32"/>
      <c r="I53" s="22"/>
      <c r="J53" s="22"/>
      <c r="K53" s="22"/>
      <c r="L53" s="22"/>
      <c r="M53" s="22"/>
      <c r="N53" s="22"/>
      <c r="O53" s="22"/>
      <c r="P53" s="22"/>
      <c r="Q53" s="22"/>
      <c r="R53" s="22"/>
      <c r="S53" s="3"/>
      <c r="U53" s="2"/>
      <c r="V53" s="3"/>
      <c r="X53" s="2"/>
    </row>
    <row r="54" spans="1:24" x14ac:dyDescent="0.25">
      <c r="A54" s="15"/>
      <c r="B54" s="19"/>
      <c r="C54" s="9"/>
      <c r="D54" s="9"/>
      <c r="E54" s="9"/>
      <c r="F54" s="9"/>
      <c r="G54" s="32"/>
      <c r="H54" s="32"/>
      <c r="I54" s="22"/>
      <c r="J54" s="22"/>
      <c r="K54" s="22"/>
      <c r="L54" s="22"/>
      <c r="M54" s="22"/>
      <c r="N54" s="22"/>
      <c r="O54" s="22"/>
      <c r="P54" s="22"/>
      <c r="Q54" s="22"/>
      <c r="R54" s="22"/>
      <c r="S54" s="3"/>
      <c r="U54" s="2"/>
      <c r="V54" s="3"/>
      <c r="X54" s="2"/>
    </row>
    <row r="55" spans="1:24" x14ac:dyDescent="0.25">
      <c r="A55" s="15"/>
      <c r="B55" s="19"/>
      <c r="C55" s="9"/>
      <c r="D55" s="9"/>
      <c r="E55" s="9"/>
      <c r="F55" s="9"/>
      <c r="G55" s="32"/>
      <c r="H55" s="32"/>
      <c r="I55" s="22"/>
      <c r="J55" s="22"/>
      <c r="K55" s="22"/>
      <c r="L55" s="22"/>
      <c r="M55" s="22"/>
      <c r="N55" s="22"/>
      <c r="O55" s="22"/>
      <c r="P55" s="22"/>
      <c r="Q55" s="22"/>
      <c r="R55" s="22"/>
      <c r="S55" s="3"/>
      <c r="U55" s="2"/>
      <c r="V55" s="3"/>
      <c r="X55" s="2"/>
    </row>
    <row r="56" spans="1:24" x14ac:dyDescent="0.25">
      <c r="A56" s="15"/>
      <c r="B56" s="19"/>
      <c r="C56" s="9"/>
      <c r="D56" s="9"/>
      <c r="E56" s="9"/>
      <c r="F56" s="9"/>
      <c r="G56" s="32"/>
      <c r="H56" s="32"/>
      <c r="I56" s="22"/>
      <c r="J56" s="22"/>
      <c r="K56" s="22"/>
      <c r="L56" s="22"/>
      <c r="M56" s="22"/>
      <c r="N56" s="22"/>
      <c r="O56" s="22"/>
      <c r="P56" s="22"/>
      <c r="Q56" s="22"/>
      <c r="R56" s="22"/>
      <c r="S56" s="3"/>
      <c r="U56" s="2"/>
      <c r="V56" s="3"/>
      <c r="X56" s="2"/>
    </row>
    <row r="57" spans="1:24" x14ac:dyDescent="0.25">
      <c r="A57" s="15"/>
      <c r="B57" s="19"/>
      <c r="C57" s="9"/>
      <c r="D57" s="9"/>
      <c r="E57" s="9"/>
      <c r="F57" s="9"/>
      <c r="G57" s="32"/>
      <c r="H57" s="32"/>
      <c r="I57" s="22"/>
      <c r="J57" s="22"/>
      <c r="K57" s="22"/>
      <c r="L57" s="22"/>
      <c r="M57" s="22"/>
      <c r="N57" s="22"/>
      <c r="O57" s="22"/>
      <c r="P57" s="22"/>
      <c r="Q57" s="22"/>
      <c r="R57" s="22"/>
      <c r="S57" s="3"/>
      <c r="U57" s="2"/>
      <c r="V57" s="3"/>
      <c r="X57" s="2"/>
    </row>
    <row r="58" spans="1:24" x14ac:dyDescent="0.25">
      <c r="A58" s="15"/>
      <c r="B58" s="19"/>
      <c r="C58" s="9"/>
      <c r="D58" s="9"/>
      <c r="E58" s="9"/>
      <c r="F58" s="9"/>
      <c r="G58" s="32"/>
      <c r="H58" s="32"/>
      <c r="I58" s="22"/>
      <c r="J58" s="22"/>
      <c r="K58" s="22"/>
      <c r="L58" s="22"/>
      <c r="M58" s="22"/>
      <c r="N58" s="22"/>
      <c r="O58" s="22"/>
      <c r="P58" s="22"/>
      <c r="Q58" s="22"/>
      <c r="R58" s="22"/>
      <c r="S58" s="3"/>
      <c r="U58" s="2"/>
      <c r="V58" s="3"/>
      <c r="X58" s="2"/>
    </row>
    <row r="59" spans="1:24" x14ac:dyDescent="0.25">
      <c r="A59" s="15"/>
      <c r="B59" s="19"/>
      <c r="C59" s="9"/>
      <c r="D59" s="9"/>
      <c r="E59" s="9"/>
      <c r="F59" s="9"/>
      <c r="G59" s="32"/>
      <c r="H59" s="32"/>
      <c r="I59" s="22"/>
      <c r="J59" s="22"/>
      <c r="K59" s="22"/>
      <c r="L59" s="22"/>
      <c r="M59" s="22"/>
      <c r="N59" s="22"/>
      <c r="O59" s="22"/>
      <c r="P59" s="22"/>
      <c r="Q59" s="22"/>
      <c r="R59" s="22"/>
      <c r="S59" s="3"/>
      <c r="U59" s="2"/>
      <c r="V59" s="3"/>
      <c r="X59" s="2"/>
    </row>
    <row r="60" spans="1:24" x14ac:dyDescent="0.25">
      <c r="A60" s="15"/>
      <c r="B60" s="19"/>
      <c r="C60" s="9"/>
      <c r="D60" s="9"/>
      <c r="E60" s="9"/>
      <c r="F60" s="9"/>
      <c r="G60" s="32"/>
      <c r="H60" s="32"/>
      <c r="I60" s="22"/>
      <c r="J60" s="22"/>
      <c r="K60" s="22"/>
      <c r="L60" s="22"/>
      <c r="M60" s="22"/>
      <c r="N60" s="22"/>
      <c r="O60" s="22"/>
      <c r="P60" s="22"/>
      <c r="Q60" s="22"/>
      <c r="R60" s="22"/>
      <c r="S60" s="3"/>
      <c r="U60" s="2"/>
      <c r="V60" s="3"/>
      <c r="X60" s="2"/>
    </row>
    <row r="61" spans="1:24" x14ac:dyDescent="0.25">
      <c r="A61" s="15"/>
      <c r="B61" s="19"/>
      <c r="C61" s="9"/>
      <c r="D61" s="9"/>
      <c r="E61" s="9"/>
      <c r="F61" s="9"/>
      <c r="G61" s="32"/>
      <c r="H61" s="32"/>
      <c r="I61" s="22"/>
      <c r="J61" s="22"/>
      <c r="K61" s="22"/>
      <c r="L61" s="22"/>
      <c r="M61" s="22"/>
      <c r="N61" s="22"/>
      <c r="O61" s="22"/>
      <c r="P61" s="22"/>
      <c r="Q61" s="22"/>
      <c r="R61" s="22"/>
      <c r="S61" s="3"/>
      <c r="U61" s="2"/>
      <c r="V61" s="3"/>
      <c r="X61" s="2"/>
    </row>
    <row r="62" spans="1:24" x14ac:dyDescent="0.25">
      <c r="A62" s="15"/>
      <c r="B62" s="19"/>
      <c r="C62" s="9"/>
      <c r="D62" s="9"/>
      <c r="E62" s="9"/>
      <c r="F62" s="9"/>
      <c r="G62" s="32"/>
      <c r="H62" s="32"/>
      <c r="I62" s="22"/>
      <c r="J62" s="22"/>
      <c r="K62" s="22"/>
      <c r="L62" s="22"/>
      <c r="M62" s="22"/>
      <c r="N62" s="22"/>
      <c r="O62" s="22"/>
      <c r="P62" s="22"/>
      <c r="Q62" s="22"/>
      <c r="R62" s="22"/>
      <c r="S62" s="3"/>
      <c r="U62" s="2"/>
      <c r="V62" s="3"/>
      <c r="X62" s="2"/>
    </row>
    <row r="63" spans="1:24" x14ac:dyDescent="0.25">
      <c r="A63" s="7"/>
      <c r="B63" s="19"/>
      <c r="C63" s="9"/>
      <c r="D63" s="9"/>
      <c r="E63" s="9"/>
      <c r="F63" s="9"/>
      <c r="G63" s="32"/>
      <c r="H63" s="32"/>
      <c r="I63" s="22"/>
      <c r="J63" s="22"/>
      <c r="K63" s="22"/>
      <c r="L63" s="22"/>
      <c r="M63" s="22"/>
      <c r="N63" s="22"/>
      <c r="O63" s="22"/>
      <c r="P63" s="22"/>
      <c r="Q63" s="22"/>
      <c r="R63" s="22"/>
      <c r="S63" s="3"/>
      <c r="U63" s="2"/>
      <c r="V63" s="3"/>
      <c r="X63" s="2"/>
    </row>
    <row r="64" spans="1:24" x14ac:dyDescent="0.25">
      <c r="A64" s="15"/>
      <c r="B64" s="19"/>
      <c r="C64" s="9"/>
      <c r="D64" s="9"/>
      <c r="E64" s="9"/>
      <c r="F64" s="9"/>
      <c r="G64" s="32"/>
      <c r="H64" s="32"/>
      <c r="I64" s="22"/>
      <c r="J64" s="22"/>
      <c r="K64" s="22"/>
      <c r="L64" s="22"/>
      <c r="M64" s="22"/>
      <c r="N64" s="22"/>
      <c r="O64" s="22"/>
      <c r="P64" s="22"/>
      <c r="Q64" s="22"/>
      <c r="R64" s="22"/>
      <c r="S64" s="3"/>
      <c r="U64" s="2"/>
      <c r="V64" s="3"/>
      <c r="X64" s="2"/>
    </row>
    <row r="65" spans="1:24" x14ac:dyDescent="0.25">
      <c r="A65" s="7"/>
      <c r="B65" s="19"/>
      <c r="C65" s="9"/>
      <c r="D65" s="9"/>
      <c r="E65" s="9"/>
      <c r="F65" s="9"/>
      <c r="G65" s="32"/>
      <c r="H65" s="32"/>
      <c r="I65" s="22"/>
      <c r="J65" s="22"/>
      <c r="K65" s="22"/>
      <c r="L65" s="22"/>
      <c r="M65" s="22"/>
      <c r="N65" s="22"/>
      <c r="O65" s="22"/>
      <c r="P65" s="22"/>
      <c r="Q65" s="22"/>
      <c r="R65" s="22"/>
      <c r="S65" s="3"/>
      <c r="U65" s="2"/>
      <c r="V65" s="3"/>
      <c r="X65" s="2"/>
    </row>
    <row r="66" spans="1:24" x14ac:dyDescent="0.25">
      <c r="A66" s="7"/>
      <c r="B66" s="19"/>
      <c r="C66" s="9"/>
      <c r="D66" s="9"/>
      <c r="E66" s="9"/>
      <c r="F66" s="9"/>
      <c r="G66" s="32"/>
      <c r="H66" s="32"/>
      <c r="I66" s="22"/>
      <c r="J66" s="22"/>
      <c r="K66" s="22"/>
      <c r="L66" s="22"/>
      <c r="M66" s="22"/>
      <c r="N66" s="22"/>
      <c r="O66" s="22"/>
      <c r="P66" s="22"/>
      <c r="Q66" s="22"/>
      <c r="R66" s="22"/>
      <c r="S66" s="3"/>
      <c r="U66" s="2"/>
      <c r="V66" s="3"/>
      <c r="X66" s="2"/>
    </row>
    <row r="67" spans="1:24" x14ac:dyDescent="0.25">
      <c r="A67" s="7"/>
      <c r="B67" s="19"/>
      <c r="C67" s="9"/>
      <c r="D67" s="9"/>
      <c r="E67" s="9"/>
      <c r="F67" s="9"/>
      <c r="G67" s="32"/>
      <c r="H67" s="32"/>
      <c r="I67" s="3"/>
      <c r="J67" s="22"/>
      <c r="K67" s="22"/>
      <c r="L67" s="22"/>
      <c r="M67" s="22"/>
      <c r="N67" s="22"/>
      <c r="O67" s="22"/>
      <c r="P67" s="22"/>
      <c r="Q67" s="22"/>
      <c r="R67" s="22"/>
      <c r="S67" s="3"/>
      <c r="U67" s="2"/>
      <c r="V67" s="3"/>
      <c r="X67" s="2"/>
    </row>
    <row r="68" spans="1:24" x14ac:dyDescent="0.25">
      <c r="A68" s="7"/>
      <c r="B68" s="7"/>
      <c r="C68" s="9"/>
      <c r="D68" s="9"/>
      <c r="E68" s="9"/>
      <c r="F68" s="9"/>
      <c r="G68" s="32"/>
      <c r="H68" s="32"/>
      <c r="I68" s="3"/>
      <c r="J68" s="3"/>
      <c r="K68" s="3"/>
      <c r="L68" s="3"/>
      <c r="M68" s="3"/>
      <c r="N68" s="3"/>
      <c r="O68" s="3"/>
      <c r="P68" s="3"/>
      <c r="Q68" s="3"/>
      <c r="R68" s="3"/>
      <c r="S68" s="3"/>
      <c r="U68" s="2"/>
      <c r="V68" s="3"/>
      <c r="X68" s="2"/>
    </row>
    <row r="69" spans="1:24" x14ac:dyDescent="0.25">
      <c r="A69" s="7"/>
      <c r="B69" s="7"/>
      <c r="C69" s="9"/>
      <c r="D69" s="9"/>
      <c r="E69" s="9"/>
      <c r="F69" s="9"/>
      <c r="G69" s="32"/>
      <c r="H69" s="32"/>
      <c r="I69" s="22"/>
      <c r="J69" s="3"/>
      <c r="K69" s="3"/>
      <c r="L69" s="3"/>
      <c r="M69" s="3"/>
      <c r="N69" s="3"/>
      <c r="O69" s="3"/>
      <c r="P69" s="3"/>
      <c r="Q69" s="3"/>
      <c r="R69" s="3"/>
      <c r="S69" s="3"/>
      <c r="U69" s="2"/>
      <c r="V69" s="3"/>
      <c r="X69" s="2"/>
    </row>
    <row r="70" spans="1:24" x14ac:dyDescent="0.25">
      <c r="A70" s="15"/>
      <c r="B70" s="19"/>
      <c r="C70" s="9"/>
      <c r="D70" s="9"/>
      <c r="E70" s="9"/>
      <c r="F70" s="9"/>
      <c r="G70" s="32"/>
      <c r="H70" s="32"/>
      <c r="I70" s="22"/>
      <c r="J70" s="22"/>
      <c r="K70" s="22"/>
      <c r="L70" s="22"/>
      <c r="M70" s="22"/>
      <c r="N70" s="22"/>
      <c r="O70" s="22"/>
      <c r="P70" s="22"/>
      <c r="Q70" s="22"/>
      <c r="R70" s="22"/>
      <c r="S70" s="3"/>
      <c r="U70" s="2"/>
      <c r="V70" s="3"/>
      <c r="X70" s="2"/>
    </row>
    <row r="71" spans="1:24" x14ac:dyDescent="0.25">
      <c r="A71" s="7"/>
      <c r="B71" s="19"/>
      <c r="C71" s="9"/>
      <c r="D71" s="9"/>
      <c r="E71" s="9"/>
      <c r="F71" s="9"/>
      <c r="G71" s="32"/>
      <c r="H71" s="32"/>
      <c r="I71" s="22"/>
      <c r="J71" s="22"/>
      <c r="K71" s="22"/>
      <c r="L71" s="22"/>
      <c r="M71" s="22"/>
      <c r="N71" s="22"/>
      <c r="O71" s="22"/>
      <c r="P71" s="22"/>
      <c r="Q71" s="22"/>
      <c r="R71" s="22"/>
      <c r="S71" s="3"/>
      <c r="U71" s="2"/>
      <c r="V71" s="3"/>
      <c r="X71" s="2"/>
    </row>
    <row r="72" spans="1:24" x14ac:dyDescent="0.25">
      <c r="A72" s="15"/>
      <c r="B72" s="19"/>
      <c r="C72" s="9"/>
      <c r="D72" s="9"/>
      <c r="E72" s="9"/>
      <c r="F72" s="9"/>
      <c r="G72" s="32"/>
      <c r="H72" s="32"/>
      <c r="I72" s="22"/>
      <c r="J72" s="22"/>
      <c r="K72" s="22"/>
      <c r="L72" s="22"/>
      <c r="M72" s="22"/>
      <c r="N72" s="22"/>
      <c r="O72" s="22"/>
      <c r="P72" s="22"/>
      <c r="Q72" s="22"/>
      <c r="R72" s="22"/>
      <c r="S72" s="3"/>
      <c r="U72" s="2"/>
      <c r="V72" s="3"/>
      <c r="X72" s="2"/>
    </row>
    <row r="73" spans="1:24" x14ac:dyDescent="0.25">
      <c r="A73" s="15"/>
      <c r="B73" s="19"/>
      <c r="C73" s="9"/>
      <c r="D73" s="9"/>
      <c r="E73" s="9"/>
      <c r="F73" s="9"/>
      <c r="G73" s="32"/>
      <c r="H73" s="32"/>
      <c r="I73" s="22"/>
      <c r="J73" s="22"/>
      <c r="K73" s="22"/>
      <c r="L73" s="22"/>
      <c r="M73" s="22"/>
      <c r="N73" s="22"/>
      <c r="O73" s="22"/>
      <c r="P73" s="22"/>
      <c r="Q73" s="22"/>
      <c r="R73" s="22"/>
      <c r="S73" s="3"/>
      <c r="U73" s="2"/>
      <c r="V73" s="3"/>
      <c r="X73" s="2"/>
    </row>
    <row r="74" spans="1:24" x14ac:dyDescent="0.25">
      <c r="A74" s="15"/>
      <c r="B74" s="19"/>
      <c r="C74" s="9"/>
      <c r="D74" s="9"/>
      <c r="E74" s="9"/>
      <c r="F74" s="9"/>
      <c r="G74" s="32"/>
      <c r="H74" s="32"/>
      <c r="I74" s="22"/>
      <c r="J74" s="22"/>
      <c r="K74" s="22"/>
      <c r="L74" s="22"/>
      <c r="M74" s="22"/>
      <c r="N74" s="22"/>
      <c r="O74" s="22"/>
      <c r="P74" s="22"/>
      <c r="Q74" s="22"/>
      <c r="R74" s="22"/>
      <c r="S74" s="3"/>
      <c r="U74" s="2"/>
      <c r="V74" s="3"/>
      <c r="X74" s="2"/>
    </row>
    <row r="75" spans="1:24" x14ac:dyDescent="0.25">
      <c r="A75" s="15"/>
      <c r="B75" s="19"/>
      <c r="C75" s="9"/>
      <c r="D75" s="9"/>
      <c r="E75" s="9"/>
      <c r="F75" s="9"/>
      <c r="G75" s="32"/>
      <c r="H75" s="32"/>
      <c r="I75" s="22"/>
      <c r="J75" s="22"/>
      <c r="K75" s="22"/>
      <c r="L75" s="22"/>
      <c r="M75" s="22"/>
      <c r="N75" s="22"/>
      <c r="O75" s="22"/>
      <c r="P75" s="22"/>
      <c r="Q75" s="22"/>
      <c r="R75" s="22"/>
      <c r="S75" s="3"/>
      <c r="U75" s="2"/>
      <c r="V75" s="3"/>
      <c r="X75" s="2"/>
    </row>
    <row r="76" spans="1:24" x14ac:dyDescent="0.25">
      <c r="A76" s="15"/>
      <c r="B76" s="19"/>
      <c r="C76" s="9"/>
      <c r="D76" s="9"/>
      <c r="E76" s="9"/>
      <c r="F76" s="9"/>
      <c r="G76" s="32"/>
      <c r="H76" s="32"/>
      <c r="I76" s="3"/>
      <c r="J76" s="22"/>
      <c r="K76" s="22"/>
      <c r="L76" s="22"/>
      <c r="M76" s="22"/>
      <c r="N76" s="22"/>
      <c r="O76" s="22"/>
      <c r="P76" s="22"/>
      <c r="Q76" s="22"/>
      <c r="R76" s="22"/>
      <c r="S76" s="3"/>
      <c r="U76" s="2"/>
      <c r="V76" s="3"/>
      <c r="X76" s="2"/>
    </row>
    <row r="77" spans="1:24" x14ac:dyDescent="0.25">
      <c r="A77" s="7"/>
      <c r="B77" s="7"/>
      <c r="C77" s="9"/>
      <c r="D77" s="9"/>
      <c r="E77" s="9"/>
      <c r="F77" s="9"/>
      <c r="G77" s="32"/>
      <c r="H77" s="32"/>
      <c r="I77" s="3"/>
      <c r="J77" s="3"/>
      <c r="K77" s="3"/>
      <c r="L77" s="3"/>
      <c r="M77" s="3"/>
      <c r="N77" s="3"/>
      <c r="O77" s="3"/>
      <c r="P77" s="3"/>
      <c r="Q77" s="3"/>
      <c r="R77" s="3"/>
      <c r="S77" s="3"/>
      <c r="U77" s="2"/>
      <c r="V77" s="3"/>
      <c r="X77" s="2"/>
    </row>
    <row r="78" spans="1:24" x14ac:dyDescent="0.25">
      <c r="A78" s="7"/>
      <c r="B78" s="7"/>
      <c r="C78" s="9"/>
      <c r="D78" s="9"/>
      <c r="E78" s="9"/>
      <c r="F78" s="9"/>
      <c r="G78" s="32"/>
      <c r="H78" s="32"/>
      <c r="I78" s="3"/>
      <c r="J78" s="3"/>
      <c r="K78" s="3"/>
      <c r="L78" s="3"/>
      <c r="M78" s="3"/>
      <c r="N78" s="3"/>
      <c r="O78" s="3"/>
      <c r="P78" s="3"/>
      <c r="Q78" s="3"/>
      <c r="R78" s="3"/>
      <c r="S78" s="3"/>
      <c r="U78" s="2"/>
      <c r="V78" s="3"/>
      <c r="X78" s="2"/>
    </row>
    <row r="79" spans="1:24" x14ac:dyDescent="0.25">
      <c r="A79" s="7"/>
      <c r="B79" s="7"/>
      <c r="C79" s="9"/>
      <c r="D79" s="9"/>
      <c r="E79" s="9"/>
      <c r="F79" s="9"/>
      <c r="G79" s="32"/>
      <c r="H79" s="32"/>
      <c r="I79" s="3"/>
      <c r="J79" s="3"/>
      <c r="K79" s="3"/>
      <c r="L79" s="3"/>
      <c r="M79" s="3"/>
      <c r="N79" s="3"/>
      <c r="O79" s="3"/>
      <c r="P79" s="3"/>
      <c r="Q79" s="3"/>
      <c r="R79" s="3"/>
      <c r="S79" s="3"/>
      <c r="U79" s="2"/>
      <c r="V79" s="3"/>
      <c r="X79" s="2"/>
    </row>
    <row r="80" spans="1:24" x14ac:dyDescent="0.25">
      <c r="A80" s="7"/>
      <c r="B80" s="7"/>
      <c r="C80" s="9"/>
      <c r="D80" s="9"/>
      <c r="E80" s="9"/>
      <c r="F80" s="9"/>
      <c r="G80" s="32"/>
      <c r="H80" s="32"/>
      <c r="I80" s="3"/>
      <c r="J80" s="3"/>
      <c r="K80" s="3"/>
      <c r="L80" s="3"/>
      <c r="M80" s="3"/>
      <c r="N80" s="3"/>
      <c r="O80" s="3"/>
      <c r="P80" s="3"/>
      <c r="Q80" s="3"/>
      <c r="R80" s="3"/>
      <c r="S80" s="3"/>
      <c r="U80" s="2"/>
      <c r="V80" s="3"/>
      <c r="X80" s="2"/>
    </row>
    <row r="81" spans="1:24" x14ac:dyDescent="0.25">
      <c r="A81" s="7"/>
      <c r="B81" s="7"/>
      <c r="C81" s="9"/>
      <c r="D81" s="9"/>
      <c r="E81" s="9"/>
      <c r="F81" s="9"/>
      <c r="G81" s="32"/>
      <c r="H81" s="32"/>
      <c r="I81" s="3"/>
      <c r="J81" s="3"/>
      <c r="K81" s="3"/>
      <c r="L81" s="3"/>
      <c r="M81" s="3"/>
      <c r="N81" s="3"/>
      <c r="O81" s="3"/>
      <c r="P81" s="3"/>
      <c r="Q81" s="3"/>
      <c r="R81" s="3"/>
      <c r="S81" s="3"/>
      <c r="U81" s="2"/>
      <c r="V81" s="3"/>
      <c r="X81" s="2"/>
    </row>
    <row r="82" spans="1:24" x14ac:dyDescent="0.25">
      <c r="A82" s="7"/>
      <c r="B82" s="7"/>
      <c r="C82" s="9"/>
      <c r="D82" s="9"/>
      <c r="E82" s="9"/>
      <c r="F82" s="9"/>
      <c r="G82" s="32"/>
      <c r="H82" s="32"/>
      <c r="I82" s="3"/>
      <c r="J82" s="3"/>
      <c r="K82" s="3"/>
      <c r="L82" s="3"/>
      <c r="M82" s="3"/>
      <c r="N82" s="3"/>
      <c r="O82" s="3"/>
      <c r="P82" s="3"/>
      <c r="Q82" s="3"/>
      <c r="R82" s="3"/>
      <c r="S82" s="3"/>
      <c r="U82" s="2"/>
      <c r="V82" s="3"/>
      <c r="X82" s="2"/>
    </row>
    <row r="83" spans="1:24" x14ac:dyDescent="0.25">
      <c r="A83" s="7"/>
      <c r="B83" s="7"/>
      <c r="C83" s="9"/>
      <c r="D83" s="9"/>
      <c r="E83" s="9"/>
      <c r="F83" s="9"/>
      <c r="G83" s="32"/>
      <c r="H83" s="32"/>
      <c r="I83" s="3"/>
      <c r="J83" s="3"/>
      <c r="K83" s="3"/>
      <c r="L83" s="3"/>
      <c r="M83" s="3"/>
      <c r="N83" s="3"/>
      <c r="O83" s="3"/>
      <c r="P83" s="3"/>
      <c r="Q83" s="3"/>
      <c r="R83" s="3"/>
      <c r="S83" s="3"/>
      <c r="U83" s="2"/>
      <c r="V83" s="3"/>
      <c r="X83" s="2"/>
    </row>
    <row r="84" spans="1:24" x14ac:dyDescent="0.25">
      <c r="A84" s="7"/>
      <c r="B84" s="7"/>
      <c r="C84" s="9"/>
      <c r="D84" s="9"/>
      <c r="E84" s="9"/>
      <c r="F84" s="9"/>
      <c r="G84" s="32"/>
      <c r="H84" s="32"/>
      <c r="I84" s="3"/>
      <c r="J84" s="3"/>
      <c r="K84" s="3"/>
      <c r="L84" s="3"/>
      <c r="M84" s="3"/>
      <c r="N84" s="3"/>
      <c r="O84" s="3"/>
      <c r="P84" s="3"/>
      <c r="Q84" s="3"/>
      <c r="R84" s="3"/>
      <c r="S84" s="3"/>
      <c r="U84" s="2"/>
      <c r="V84" s="3"/>
      <c r="X84" s="2"/>
    </row>
    <row r="85" spans="1:24" x14ac:dyDescent="0.25">
      <c r="A85" s="7"/>
      <c r="B85" s="7"/>
      <c r="C85" s="9"/>
      <c r="D85" s="9"/>
      <c r="E85" s="9"/>
      <c r="F85" s="9"/>
      <c r="G85" s="32"/>
      <c r="H85" s="32"/>
      <c r="I85" s="3"/>
      <c r="J85" s="3"/>
      <c r="K85" s="3"/>
      <c r="L85" s="3"/>
      <c r="M85" s="3"/>
      <c r="N85" s="3"/>
      <c r="O85" s="3"/>
      <c r="P85" s="3"/>
      <c r="Q85" s="3"/>
      <c r="R85" s="3"/>
      <c r="S85" s="3"/>
      <c r="U85" s="2"/>
      <c r="V85" s="3"/>
      <c r="X85" s="2"/>
    </row>
    <row r="86" spans="1:24" x14ac:dyDescent="0.25">
      <c r="A86" s="7"/>
      <c r="B86" s="7"/>
      <c r="C86" s="9"/>
      <c r="D86" s="9"/>
      <c r="E86" s="9"/>
      <c r="F86" s="9"/>
      <c r="G86" s="32"/>
      <c r="H86" s="32"/>
      <c r="I86" s="3"/>
      <c r="J86" s="3"/>
      <c r="K86" s="3"/>
      <c r="L86" s="3"/>
      <c r="M86" s="3"/>
      <c r="N86" s="3"/>
      <c r="O86" s="3"/>
      <c r="P86" s="3"/>
      <c r="Q86" s="3"/>
      <c r="R86" s="3"/>
      <c r="S86" s="3"/>
      <c r="U86" s="2"/>
      <c r="V86" s="3"/>
      <c r="X86" s="2"/>
    </row>
    <row r="87" spans="1:24" x14ac:dyDescent="0.25">
      <c r="A87" s="7"/>
      <c r="B87" s="7"/>
      <c r="C87" s="9"/>
      <c r="D87" s="9"/>
      <c r="E87" s="9"/>
      <c r="F87" s="9"/>
      <c r="G87" s="32"/>
      <c r="H87" s="32"/>
      <c r="I87" s="3"/>
      <c r="J87" s="3"/>
      <c r="K87" s="3"/>
      <c r="L87" s="3"/>
      <c r="M87" s="3"/>
      <c r="N87" s="3"/>
      <c r="O87" s="3"/>
      <c r="P87" s="3"/>
      <c r="Q87" s="3"/>
      <c r="R87" s="3"/>
      <c r="S87" s="3"/>
      <c r="U87" s="2"/>
      <c r="V87" s="3"/>
      <c r="X87" s="2"/>
    </row>
    <row r="88" spans="1:24" x14ac:dyDescent="0.25">
      <c r="A88" s="7"/>
      <c r="B88" s="7"/>
      <c r="C88" s="9"/>
      <c r="D88" s="9"/>
      <c r="E88" s="9"/>
      <c r="F88" s="9"/>
      <c r="G88" s="32"/>
      <c r="H88" s="32"/>
      <c r="I88" s="3"/>
      <c r="J88" s="3"/>
      <c r="K88" s="3"/>
      <c r="L88" s="3"/>
      <c r="M88" s="3"/>
      <c r="N88" s="3"/>
      <c r="O88" s="3"/>
      <c r="P88" s="3"/>
      <c r="Q88" s="3"/>
      <c r="R88" s="3"/>
      <c r="S88" s="3"/>
      <c r="U88" s="2"/>
      <c r="V88" s="3"/>
      <c r="X88" s="2"/>
    </row>
    <row r="89" spans="1:24" x14ac:dyDescent="0.25">
      <c r="A89" s="7"/>
      <c r="B89" s="7"/>
      <c r="C89" s="9"/>
      <c r="D89" s="9"/>
      <c r="E89" s="9"/>
      <c r="F89" s="9"/>
      <c r="G89" s="32"/>
      <c r="H89" s="32"/>
      <c r="I89" s="3"/>
      <c r="J89" s="3"/>
      <c r="K89" s="3"/>
      <c r="L89" s="3"/>
      <c r="M89" s="3"/>
      <c r="N89" s="3"/>
      <c r="O89" s="3"/>
      <c r="P89" s="3"/>
      <c r="Q89" s="3"/>
      <c r="R89" s="3"/>
      <c r="S89" s="3"/>
      <c r="U89" s="2"/>
      <c r="V89" s="3"/>
      <c r="X89" s="2"/>
    </row>
    <row r="90" spans="1:24" x14ac:dyDescent="0.25">
      <c r="A90" s="7"/>
      <c r="B90" s="7"/>
      <c r="C90" s="9"/>
      <c r="D90" s="9"/>
      <c r="E90" s="9"/>
      <c r="F90" s="9"/>
      <c r="G90" s="32"/>
      <c r="H90" s="32"/>
      <c r="I90" s="3"/>
      <c r="J90" s="3"/>
      <c r="K90" s="3"/>
      <c r="L90" s="3"/>
      <c r="M90" s="3"/>
      <c r="N90" s="3"/>
      <c r="O90" s="3"/>
      <c r="P90" s="3"/>
      <c r="Q90" s="3"/>
      <c r="R90" s="3"/>
      <c r="S90" s="3"/>
      <c r="U90" s="2"/>
      <c r="V90" s="3"/>
      <c r="X90" s="2"/>
    </row>
    <row r="91" spans="1:24" x14ac:dyDescent="0.25">
      <c r="A91" s="7"/>
      <c r="B91" s="7"/>
      <c r="C91" s="9"/>
      <c r="D91" s="9"/>
      <c r="E91" s="9"/>
      <c r="F91" s="9"/>
      <c r="G91" s="32"/>
      <c r="H91" s="32"/>
      <c r="I91" s="3"/>
      <c r="J91" s="3"/>
      <c r="K91" s="3"/>
      <c r="L91" s="3"/>
      <c r="M91" s="3"/>
      <c r="N91" s="3"/>
      <c r="O91" s="3"/>
      <c r="P91" s="3"/>
      <c r="Q91" s="3"/>
      <c r="R91" s="3"/>
      <c r="S91" s="3"/>
      <c r="U91" s="2"/>
      <c r="V91" s="3"/>
      <c r="X91" s="2"/>
    </row>
    <row r="92" spans="1:24" x14ac:dyDescent="0.25">
      <c r="A92" s="7"/>
      <c r="B92" s="7"/>
      <c r="C92" s="9"/>
      <c r="D92" s="9"/>
      <c r="E92" s="9"/>
      <c r="F92" s="9"/>
      <c r="G92" s="32"/>
      <c r="H92" s="32"/>
      <c r="I92" s="3"/>
      <c r="J92" s="3"/>
      <c r="K92" s="3"/>
      <c r="L92" s="3"/>
      <c r="M92" s="3"/>
      <c r="N92" s="3"/>
      <c r="O92" s="3"/>
      <c r="P92" s="3"/>
      <c r="Q92" s="3"/>
      <c r="R92" s="3"/>
      <c r="S92" s="3"/>
      <c r="U92" s="2"/>
      <c r="V92" s="3"/>
      <c r="X92" s="2"/>
    </row>
    <row r="93" spans="1:24" x14ac:dyDescent="0.25">
      <c r="A93" s="7"/>
      <c r="B93" s="7"/>
      <c r="C93" s="9"/>
      <c r="D93" s="9"/>
      <c r="E93" s="9"/>
      <c r="F93" s="9"/>
      <c r="G93" s="32"/>
      <c r="H93" s="32"/>
      <c r="I93" s="3"/>
      <c r="J93" s="3"/>
      <c r="K93" s="3"/>
      <c r="L93" s="3"/>
      <c r="M93" s="3"/>
      <c r="N93" s="3"/>
      <c r="O93" s="3"/>
      <c r="P93" s="3"/>
      <c r="Q93" s="3"/>
      <c r="R93" s="3"/>
      <c r="S93" s="3"/>
      <c r="U93" s="2"/>
      <c r="V93" s="3"/>
      <c r="X93" s="2"/>
    </row>
    <row r="94" spans="1:24" x14ac:dyDescent="0.25">
      <c r="A94" s="7"/>
      <c r="B94" s="7"/>
      <c r="C94" s="9"/>
      <c r="D94" s="9"/>
      <c r="E94" s="9"/>
      <c r="F94" s="9"/>
      <c r="G94" s="32"/>
      <c r="H94" s="32"/>
      <c r="I94" s="3"/>
      <c r="J94" s="3"/>
      <c r="K94" s="3"/>
      <c r="L94" s="3"/>
      <c r="M94" s="3"/>
      <c r="N94" s="3"/>
      <c r="O94" s="3"/>
      <c r="P94" s="3"/>
      <c r="Q94" s="3"/>
      <c r="R94" s="3"/>
      <c r="S94" s="3"/>
      <c r="U94" s="2"/>
      <c r="V94" s="3"/>
      <c r="X94" s="2"/>
    </row>
    <row r="95" spans="1:24" x14ac:dyDescent="0.25">
      <c r="A95" s="7"/>
      <c r="B95" s="7"/>
      <c r="C95" s="9"/>
      <c r="D95" s="9"/>
      <c r="E95" s="9"/>
      <c r="F95" s="9"/>
      <c r="G95" s="32"/>
      <c r="H95" s="32"/>
      <c r="I95" s="3"/>
      <c r="J95" s="3"/>
      <c r="K95" s="3"/>
      <c r="L95" s="3"/>
      <c r="M95" s="3"/>
      <c r="N95" s="3"/>
      <c r="O95" s="3"/>
      <c r="P95" s="3"/>
      <c r="Q95" s="3"/>
      <c r="R95" s="3"/>
      <c r="S95" s="3"/>
      <c r="U95" s="2"/>
      <c r="V95" s="3"/>
      <c r="X95" s="2"/>
    </row>
    <row r="96" spans="1:24" x14ac:dyDescent="0.25">
      <c r="A96" s="7"/>
      <c r="B96" s="7"/>
      <c r="C96" s="9"/>
      <c r="D96" s="9"/>
      <c r="E96" s="9"/>
      <c r="F96" s="9"/>
      <c r="G96" s="32"/>
      <c r="H96" s="32"/>
      <c r="I96" s="3"/>
      <c r="J96" s="3"/>
      <c r="K96" s="3"/>
      <c r="L96" s="3"/>
      <c r="M96" s="3"/>
      <c r="N96" s="3"/>
      <c r="O96" s="3"/>
      <c r="P96" s="3"/>
      <c r="Q96" s="3"/>
      <c r="R96" s="3"/>
      <c r="S96" s="3"/>
      <c r="U96" s="2"/>
      <c r="V96" s="3"/>
      <c r="X96" s="2"/>
    </row>
    <row r="97" spans="1:24" x14ac:dyDescent="0.25">
      <c r="A97" s="7"/>
      <c r="B97" s="7"/>
      <c r="C97" s="9"/>
      <c r="D97" s="9"/>
      <c r="E97" s="9"/>
      <c r="F97" s="9"/>
      <c r="G97" s="32"/>
      <c r="H97" s="32"/>
      <c r="I97" s="3"/>
      <c r="J97" s="3"/>
      <c r="K97" s="3"/>
      <c r="L97" s="3"/>
      <c r="M97" s="3"/>
      <c r="N97" s="3"/>
      <c r="O97" s="3"/>
      <c r="P97" s="3"/>
      <c r="Q97" s="3"/>
      <c r="R97" s="3"/>
      <c r="S97" s="3"/>
      <c r="U97" s="2"/>
      <c r="V97" s="3"/>
      <c r="X97" s="2"/>
    </row>
    <row r="98" spans="1:24" x14ac:dyDescent="0.25">
      <c r="A98" s="7"/>
      <c r="B98" s="7"/>
      <c r="C98" s="9"/>
      <c r="D98" s="9"/>
      <c r="E98" s="9"/>
      <c r="F98" s="9"/>
      <c r="G98" s="32"/>
      <c r="H98" s="32"/>
      <c r="I98" s="3"/>
      <c r="J98" s="3"/>
      <c r="K98" s="3"/>
      <c r="L98" s="3"/>
      <c r="M98" s="3"/>
      <c r="N98" s="3"/>
      <c r="O98" s="3"/>
      <c r="P98" s="3"/>
      <c r="Q98" s="3"/>
      <c r="R98" s="3"/>
      <c r="S98" s="3"/>
      <c r="U98" s="2"/>
      <c r="V98" s="3"/>
      <c r="X98" s="2"/>
    </row>
    <row r="99" spans="1:24" x14ac:dyDescent="0.25">
      <c r="A99" s="7"/>
      <c r="B99" s="7"/>
      <c r="C99" s="9"/>
      <c r="D99" s="9"/>
      <c r="E99" s="9"/>
      <c r="F99" s="9"/>
      <c r="G99" s="32"/>
      <c r="H99" s="32"/>
      <c r="I99" s="3"/>
      <c r="J99" s="3"/>
      <c r="K99" s="3"/>
      <c r="L99" s="3"/>
      <c r="M99" s="3"/>
      <c r="N99" s="3"/>
      <c r="O99" s="3"/>
      <c r="P99" s="3"/>
      <c r="Q99" s="3"/>
      <c r="R99" s="3"/>
      <c r="S99" s="3"/>
      <c r="U99" s="2"/>
      <c r="V99" s="3"/>
      <c r="X99" s="2"/>
    </row>
    <row r="100" spans="1:24" x14ac:dyDescent="0.25">
      <c r="A100" s="7"/>
      <c r="B100" s="7"/>
      <c r="C100" s="9"/>
      <c r="D100" s="9"/>
      <c r="E100" s="9"/>
      <c r="F100" s="9"/>
      <c r="G100" s="32"/>
      <c r="H100" s="32"/>
      <c r="I100" s="3"/>
      <c r="J100" s="3"/>
      <c r="K100" s="3"/>
      <c r="L100" s="3"/>
      <c r="M100" s="3"/>
      <c r="N100" s="3"/>
      <c r="O100" s="3"/>
      <c r="P100" s="3"/>
      <c r="Q100" s="3"/>
      <c r="R100" s="3"/>
      <c r="S100" s="3"/>
      <c r="U100" s="2"/>
      <c r="V100" s="3"/>
      <c r="X100" s="2"/>
    </row>
    <row r="101" spans="1:24" x14ac:dyDescent="0.25">
      <c r="A101" s="7"/>
      <c r="B101" s="7"/>
      <c r="C101" s="9"/>
      <c r="D101" s="9"/>
      <c r="E101" s="9"/>
      <c r="F101" s="9"/>
      <c r="G101" s="32"/>
      <c r="H101" s="32"/>
      <c r="I101" s="3"/>
      <c r="J101" s="3"/>
      <c r="K101" s="3"/>
      <c r="L101" s="3"/>
      <c r="M101" s="3"/>
      <c r="N101" s="3"/>
      <c r="O101" s="3"/>
      <c r="P101" s="3"/>
      <c r="Q101" s="3"/>
      <c r="R101" s="3"/>
      <c r="S101" s="3"/>
      <c r="U101" s="2"/>
      <c r="V101" s="3"/>
      <c r="X101" s="2"/>
    </row>
    <row r="102" spans="1:24" x14ac:dyDescent="0.25">
      <c r="A102" s="7"/>
      <c r="B102" s="7"/>
      <c r="C102" s="9"/>
      <c r="D102" s="9"/>
      <c r="E102" s="9"/>
      <c r="F102" s="9"/>
      <c r="G102" s="32"/>
      <c r="H102" s="32"/>
      <c r="I102" s="3"/>
      <c r="J102" s="3"/>
      <c r="K102" s="3"/>
      <c r="L102" s="3"/>
      <c r="M102" s="3"/>
      <c r="N102" s="3"/>
      <c r="O102" s="3"/>
      <c r="P102" s="3"/>
      <c r="Q102" s="3"/>
      <c r="R102" s="3"/>
      <c r="S102" s="3"/>
      <c r="U102" s="2"/>
      <c r="V102" s="3"/>
      <c r="X102" s="2"/>
    </row>
    <row r="103" spans="1:24" x14ac:dyDescent="0.25">
      <c r="A103" s="7"/>
      <c r="B103" s="7"/>
      <c r="C103" s="9"/>
      <c r="D103" s="9"/>
      <c r="E103" s="9"/>
      <c r="F103" s="9"/>
      <c r="G103" s="32"/>
      <c r="H103" s="32"/>
      <c r="I103" s="3"/>
      <c r="J103" s="3"/>
      <c r="K103" s="3"/>
      <c r="L103" s="3"/>
      <c r="M103" s="3"/>
      <c r="N103" s="3"/>
      <c r="O103" s="3"/>
      <c r="P103" s="3"/>
      <c r="Q103" s="3"/>
      <c r="R103" s="3"/>
      <c r="S103" s="3"/>
      <c r="U103" s="2"/>
      <c r="V103" s="3"/>
      <c r="X103" s="2"/>
    </row>
    <row r="104" spans="1:24" x14ac:dyDescent="0.25">
      <c r="A104" s="7"/>
      <c r="B104" s="7"/>
      <c r="C104" s="9"/>
      <c r="D104" s="9"/>
      <c r="E104" s="9"/>
      <c r="F104" s="9"/>
      <c r="G104" s="32"/>
      <c r="H104" s="32"/>
      <c r="I104" s="3"/>
      <c r="J104" s="3"/>
      <c r="K104" s="3"/>
      <c r="L104" s="3"/>
      <c r="M104" s="3"/>
      <c r="N104" s="3"/>
      <c r="O104" s="3"/>
      <c r="P104" s="3"/>
      <c r="Q104" s="3"/>
      <c r="R104" s="3"/>
      <c r="S104" s="3"/>
      <c r="U104" s="2"/>
      <c r="V104" s="3"/>
      <c r="X104" s="2"/>
    </row>
    <row r="105" spans="1:24" x14ac:dyDescent="0.25">
      <c r="A105" s="7"/>
      <c r="B105" s="7"/>
      <c r="C105" s="9"/>
      <c r="D105" s="9"/>
      <c r="E105" s="9"/>
      <c r="F105" s="9"/>
      <c r="G105" s="32"/>
      <c r="H105" s="32"/>
      <c r="I105" s="3"/>
      <c r="J105" s="3"/>
      <c r="K105" s="3"/>
      <c r="L105" s="3"/>
      <c r="M105" s="3"/>
      <c r="N105" s="3"/>
      <c r="O105" s="3"/>
      <c r="P105" s="3"/>
      <c r="Q105" s="3"/>
      <c r="R105" s="3"/>
      <c r="S105" s="3"/>
      <c r="U105" s="2"/>
      <c r="V105" s="3"/>
      <c r="X105" s="2"/>
    </row>
    <row r="106" spans="1:24" x14ac:dyDescent="0.25">
      <c r="A106" s="7"/>
      <c r="B106" s="7"/>
      <c r="C106" s="9"/>
      <c r="D106" s="9"/>
      <c r="E106" s="9"/>
      <c r="F106" s="9"/>
      <c r="G106" s="32"/>
      <c r="H106" s="32"/>
      <c r="I106" s="3"/>
      <c r="J106" s="3"/>
      <c r="K106" s="3"/>
      <c r="L106" s="3"/>
      <c r="M106" s="3"/>
      <c r="N106" s="3"/>
      <c r="O106" s="3"/>
      <c r="P106" s="3"/>
      <c r="Q106" s="3"/>
      <c r="R106" s="3"/>
      <c r="S106" s="3"/>
      <c r="U106" s="2"/>
      <c r="V106" s="3"/>
      <c r="X106" s="2"/>
    </row>
    <row r="107" spans="1:24" x14ac:dyDescent="0.25">
      <c r="A107" s="7"/>
      <c r="B107" s="7"/>
      <c r="C107" s="9"/>
      <c r="D107" s="9"/>
      <c r="E107" s="9"/>
      <c r="F107" s="9"/>
      <c r="G107" s="32"/>
      <c r="H107" s="32"/>
      <c r="I107" s="3"/>
      <c r="J107" s="3"/>
      <c r="K107" s="3"/>
      <c r="L107" s="3"/>
      <c r="M107" s="3"/>
      <c r="N107" s="3"/>
      <c r="O107" s="3"/>
      <c r="P107" s="3"/>
      <c r="Q107" s="3"/>
      <c r="R107" s="3"/>
      <c r="S107" s="3"/>
      <c r="U107" s="2"/>
      <c r="V107" s="3"/>
      <c r="X107" s="2"/>
    </row>
    <row r="108" spans="1:24" x14ac:dyDescent="0.25">
      <c r="A108" s="7"/>
      <c r="B108" s="7"/>
      <c r="C108" s="9"/>
      <c r="D108" s="9"/>
      <c r="E108" s="9"/>
      <c r="F108" s="9"/>
      <c r="G108" s="32"/>
      <c r="H108" s="32"/>
      <c r="I108" s="3"/>
      <c r="J108" s="3"/>
      <c r="K108" s="3"/>
      <c r="L108" s="3"/>
      <c r="M108" s="3"/>
      <c r="N108" s="3"/>
      <c r="O108" s="3"/>
      <c r="P108" s="3"/>
      <c r="Q108" s="3"/>
      <c r="R108" s="3"/>
      <c r="S108" s="3"/>
      <c r="U108" s="2"/>
      <c r="V108" s="3"/>
      <c r="X108" s="2"/>
    </row>
    <row r="109" spans="1:24" x14ac:dyDescent="0.25">
      <c r="A109" s="7"/>
      <c r="B109" s="7"/>
      <c r="C109" s="9"/>
      <c r="D109" s="9"/>
      <c r="E109" s="9"/>
      <c r="F109" s="9"/>
      <c r="G109" s="32"/>
      <c r="H109" s="32"/>
      <c r="I109" s="3"/>
      <c r="J109" s="3"/>
      <c r="K109" s="3"/>
      <c r="L109" s="3"/>
      <c r="M109" s="3"/>
      <c r="N109" s="3"/>
      <c r="O109" s="3"/>
      <c r="P109" s="3"/>
      <c r="Q109" s="3"/>
      <c r="R109" s="3"/>
      <c r="S109" s="3"/>
      <c r="U109" s="2"/>
      <c r="V109" s="3"/>
      <c r="X109" s="2"/>
    </row>
    <row r="110" spans="1:24" x14ac:dyDescent="0.25">
      <c r="A110" s="7"/>
      <c r="B110" s="7"/>
      <c r="C110" s="9"/>
      <c r="D110" s="9"/>
      <c r="E110" s="9"/>
      <c r="F110" s="9"/>
      <c r="G110" s="32"/>
      <c r="H110" s="32"/>
      <c r="I110" s="3"/>
      <c r="J110" s="3"/>
      <c r="K110" s="3"/>
      <c r="L110" s="3"/>
      <c r="M110" s="3"/>
      <c r="N110" s="3"/>
      <c r="O110" s="3"/>
      <c r="P110" s="3"/>
      <c r="Q110" s="3"/>
      <c r="R110" s="3"/>
      <c r="S110" s="3"/>
      <c r="U110" s="2"/>
      <c r="V110" s="3"/>
      <c r="X110" s="2"/>
    </row>
    <row r="111" spans="1:24" x14ac:dyDescent="0.25">
      <c r="A111" s="7"/>
      <c r="B111" s="7"/>
      <c r="C111" s="9"/>
      <c r="D111" s="9"/>
      <c r="E111" s="9"/>
      <c r="F111" s="9"/>
      <c r="G111" s="32"/>
      <c r="H111" s="32"/>
      <c r="I111" s="3"/>
      <c r="J111" s="3"/>
      <c r="K111" s="3"/>
      <c r="L111" s="3"/>
      <c r="M111" s="3"/>
      <c r="N111" s="3"/>
      <c r="O111" s="3"/>
      <c r="P111" s="3"/>
      <c r="Q111" s="3"/>
      <c r="R111" s="3"/>
      <c r="S111" s="3"/>
      <c r="U111" s="2"/>
      <c r="V111" s="3"/>
      <c r="X111" s="2"/>
    </row>
    <row r="112" spans="1:24" x14ac:dyDescent="0.25">
      <c r="A112" s="7"/>
      <c r="B112" s="7"/>
      <c r="C112" s="9"/>
      <c r="D112" s="9"/>
      <c r="E112" s="9"/>
      <c r="F112" s="9"/>
      <c r="G112" s="32"/>
      <c r="H112" s="32"/>
      <c r="I112" s="3"/>
      <c r="J112" s="3"/>
      <c r="K112" s="3"/>
      <c r="L112" s="3"/>
      <c r="M112" s="3"/>
      <c r="N112" s="3"/>
      <c r="O112" s="3"/>
      <c r="P112" s="3"/>
      <c r="Q112" s="3"/>
      <c r="R112" s="3"/>
      <c r="S112" s="3"/>
      <c r="U112" s="2"/>
      <c r="V112" s="3"/>
      <c r="X112" s="2"/>
    </row>
    <row r="113" spans="1:24" x14ac:dyDescent="0.25">
      <c r="A113" s="7"/>
      <c r="B113" s="7"/>
      <c r="C113" s="9"/>
      <c r="D113" s="9"/>
      <c r="E113" s="9"/>
      <c r="F113" s="9"/>
      <c r="G113" s="32"/>
      <c r="H113" s="32"/>
      <c r="I113" s="3"/>
      <c r="J113" s="3"/>
      <c r="K113" s="3"/>
      <c r="L113" s="3"/>
      <c r="M113" s="3"/>
      <c r="N113" s="3"/>
      <c r="O113" s="3"/>
      <c r="P113" s="3"/>
      <c r="Q113" s="3"/>
      <c r="R113" s="3"/>
      <c r="S113" s="3"/>
      <c r="U113" s="2"/>
      <c r="V113" s="3"/>
      <c r="X113" s="2"/>
    </row>
    <row r="114" spans="1:24" x14ac:dyDescent="0.25">
      <c r="A114" s="7"/>
      <c r="B114" s="7"/>
      <c r="C114" s="9"/>
      <c r="D114" s="9"/>
      <c r="E114" s="9"/>
      <c r="F114" s="9"/>
      <c r="G114" s="32"/>
      <c r="H114" s="32"/>
      <c r="I114" s="3"/>
      <c r="J114" s="3"/>
      <c r="K114" s="3"/>
      <c r="L114" s="3"/>
      <c r="M114" s="3"/>
      <c r="N114" s="3"/>
      <c r="O114" s="3"/>
      <c r="P114" s="3"/>
      <c r="Q114" s="3"/>
      <c r="R114" s="3"/>
      <c r="S114" s="3"/>
      <c r="U114" s="2"/>
      <c r="V114" s="3"/>
      <c r="X114" s="2"/>
    </row>
    <row r="115" spans="1:24" x14ac:dyDescent="0.25">
      <c r="A115" s="7"/>
      <c r="B115" s="7"/>
      <c r="C115" s="9"/>
      <c r="D115" s="9"/>
      <c r="E115" s="9"/>
      <c r="F115" s="9"/>
      <c r="G115" s="32"/>
      <c r="H115" s="32"/>
      <c r="I115" s="3"/>
      <c r="J115" s="3"/>
      <c r="K115" s="3"/>
      <c r="L115" s="3"/>
      <c r="M115" s="3"/>
      <c r="N115" s="3"/>
      <c r="O115" s="3"/>
      <c r="P115" s="3"/>
      <c r="Q115" s="3"/>
      <c r="R115" s="3"/>
      <c r="S115" s="3"/>
      <c r="U115" s="2"/>
      <c r="V115" s="3"/>
      <c r="X115" s="2"/>
    </row>
    <row r="116" spans="1:24" x14ac:dyDescent="0.25">
      <c r="A116" s="7"/>
      <c r="B116" s="7"/>
      <c r="C116" s="9"/>
      <c r="D116" s="9"/>
      <c r="E116" s="9"/>
      <c r="F116" s="9"/>
      <c r="G116" s="32"/>
      <c r="H116" s="32"/>
      <c r="I116" s="3"/>
      <c r="J116" s="3"/>
      <c r="K116" s="3"/>
      <c r="L116" s="3"/>
      <c r="M116" s="3"/>
      <c r="N116" s="3"/>
      <c r="O116" s="3"/>
      <c r="P116" s="3"/>
      <c r="Q116" s="3"/>
      <c r="R116" s="3"/>
      <c r="S116" s="3"/>
      <c r="U116" s="2"/>
      <c r="V116" s="3"/>
      <c r="X116" s="2"/>
    </row>
    <row r="117" spans="1:24" x14ac:dyDescent="0.25">
      <c r="A117" s="7" t="s">
        <v>49</v>
      </c>
      <c r="B117" s="7"/>
      <c r="C117" s="9"/>
      <c r="D117" s="11"/>
      <c r="E117" s="11"/>
      <c r="F117" s="11"/>
      <c r="G117" s="32"/>
      <c r="H117" s="32"/>
      <c r="I117" s="3"/>
      <c r="J117" s="3"/>
      <c r="K117" s="3"/>
      <c r="L117" s="3"/>
      <c r="M117" s="3"/>
      <c r="N117" s="3"/>
      <c r="O117" s="3"/>
      <c r="P117" s="3"/>
      <c r="Q117" s="3"/>
      <c r="R117" s="3"/>
      <c r="S117" s="3"/>
      <c r="U117" s="2"/>
      <c r="V117" s="3"/>
      <c r="X117" s="2"/>
    </row>
    <row r="118" spans="1:24" x14ac:dyDescent="0.25">
      <c r="A118" s="8"/>
      <c r="B118" s="8"/>
      <c r="C118" s="11"/>
      <c r="J118" s="4"/>
      <c r="K118" s="4"/>
      <c r="L118" s="4"/>
      <c r="M118" s="4"/>
      <c r="N118" s="4"/>
      <c r="O118" s="4"/>
      <c r="P118" s="4"/>
      <c r="Q118" s="4"/>
      <c r="R118" s="4"/>
      <c r="S118" s="4"/>
      <c r="T118" s="5"/>
      <c r="U118" s="6"/>
      <c r="V118" s="4"/>
      <c r="W118" s="5"/>
      <c r="X118" s="6"/>
    </row>
  </sheetData>
  <mergeCells count="2">
    <mergeCell ref="D4:F4"/>
    <mergeCell ref="G4:I4"/>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9F995-945E-4E53-BDDD-9EFCB1DE3B6D}">
  <dimension ref="A2:AB126"/>
  <sheetViews>
    <sheetView topLeftCell="A25" zoomScale="90" zoomScaleNormal="90" workbookViewId="0">
      <selection activeCell="A34" sqref="A34"/>
    </sheetView>
  </sheetViews>
  <sheetFormatPr baseColWidth="10" defaultColWidth="9.140625" defaultRowHeight="15" x14ac:dyDescent="0.25"/>
  <cols>
    <col min="1" max="1" width="20.42578125" customWidth="1"/>
    <col min="2" max="2" width="7.42578125" customWidth="1"/>
    <col min="3" max="3" width="60.7109375" style="1" customWidth="1"/>
    <col min="4" max="6" width="5.42578125" style="1" bestFit="1" customWidth="1"/>
    <col min="7" max="8" width="7.7109375" style="1" bestFit="1" customWidth="1"/>
    <col min="9" max="9" width="7.7109375" bestFit="1" customWidth="1"/>
    <col min="10" max="10" width="13.85546875" customWidth="1"/>
    <col min="11" max="11" width="12.7109375" customWidth="1"/>
    <col min="16" max="16" width="11.140625" bestFit="1" customWidth="1"/>
  </cols>
  <sheetData>
    <row r="2" spans="1:28" x14ac:dyDescent="0.25">
      <c r="A2" t="s">
        <v>0</v>
      </c>
      <c r="B2" s="1">
        <v>5.0199999999999996</v>
      </c>
      <c r="C2" t="s">
        <v>1</v>
      </c>
    </row>
    <row r="3" spans="1:28" x14ac:dyDescent="0.25">
      <c r="A3" t="s">
        <v>2</v>
      </c>
      <c r="B3" s="1">
        <f>2*190</f>
        <v>380</v>
      </c>
      <c r="C3" t="s">
        <v>3</v>
      </c>
    </row>
    <row r="4" spans="1:28" x14ac:dyDescent="0.25">
      <c r="D4" s="44" t="s">
        <v>4</v>
      </c>
      <c r="E4" s="44"/>
      <c r="F4" s="44"/>
      <c r="G4" s="44" t="s">
        <v>5</v>
      </c>
      <c r="H4" s="44"/>
      <c r="I4" s="44"/>
      <c r="J4" t="s">
        <v>6</v>
      </c>
      <c r="M4" t="s">
        <v>7</v>
      </c>
      <c r="P4" t="s">
        <v>8</v>
      </c>
      <c r="S4" t="s">
        <v>9</v>
      </c>
      <c r="V4" t="s">
        <v>10</v>
      </c>
      <c r="Y4" t="s">
        <v>11</v>
      </c>
    </row>
    <row r="5" spans="1:28" x14ac:dyDescent="0.25">
      <c r="A5" s="21" t="s">
        <v>12</v>
      </c>
      <c r="B5" s="17" t="s">
        <v>13</v>
      </c>
      <c r="C5" s="16" t="s">
        <v>14</v>
      </c>
      <c r="D5" s="30" t="s">
        <v>15</v>
      </c>
      <c r="E5" s="30" t="s">
        <v>16</v>
      </c>
      <c r="F5" s="30" t="s">
        <v>17</v>
      </c>
      <c r="G5" s="30" t="s">
        <v>15</v>
      </c>
      <c r="H5" s="30" t="s">
        <v>16</v>
      </c>
      <c r="I5" s="30" t="s">
        <v>17</v>
      </c>
      <c r="J5" s="18" t="s">
        <v>82</v>
      </c>
      <c r="K5" s="18" t="s">
        <v>83</v>
      </c>
      <c r="L5" s="18" t="s">
        <v>84</v>
      </c>
      <c r="M5" s="18" t="s">
        <v>82</v>
      </c>
      <c r="N5" s="18" t="s">
        <v>83</v>
      </c>
      <c r="O5" s="18" t="s">
        <v>84</v>
      </c>
      <c r="P5" s="18" t="s">
        <v>82</v>
      </c>
      <c r="Q5" s="18" t="s">
        <v>83</v>
      </c>
      <c r="R5" s="18" t="s">
        <v>84</v>
      </c>
      <c r="S5" s="18" t="s">
        <v>82</v>
      </c>
      <c r="T5" s="18" t="s">
        <v>83</v>
      </c>
      <c r="U5" s="18" t="s">
        <v>84</v>
      </c>
      <c r="V5" s="18" t="s">
        <v>82</v>
      </c>
      <c r="W5" s="18" t="s">
        <v>83</v>
      </c>
      <c r="X5" s="18" t="s">
        <v>84</v>
      </c>
      <c r="Y5" s="18" t="s">
        <v>82</v>
      </c>
      <c r="Z5" s="18" t="s">
        <v>83</v>
      </c>
      <c r="AA5" s="18" t="s">
        <v>84</v>
      </c>
    </row>
    <row r="6" spans="1:28" x14ac:dyDescent="0.25">
      <c r="A6" s="15">
        <v>45880</v>
      </c>
      <c r="B6" s="26">
        <v>0.34166666666666667</v>
      </c>
      <c r="C6" s="9" t="s">
        <v>85</v>
      </c>
      <c r="D6" s="9" t="s">
        <v>22</v>
      </c>
      <c r="E6" s="9" t="s">
        <v>22</v>
      </c>
      <c r="F6" s="9" t="s">
        <v>22</v>
      </c>
      <c r="G6" s="32"/>
      <c r="H6" s="32"/>
      <c r="I6" s="29"/>
      <c r="J6" s="22"/>
      <c r="K6" s="22"/>
      <c r="L6" s="22"/>
      <c r="M6" s="22"/>
      <c r="N6" s="22"/>
      <c r="O6" s="22"/>
      <c r="P6" s="22"/>
      <c r="Q6" s="22"/>
      <c r="R6" s="22"/>
      <c r="S6" s="3"/>
      <c r="U6" s="2"/>
      <c r="V6" s="3"/>
      <c r="X6" s="2"/>
    </row>
    <row r="7" spans="1:28" x14ac:dyDescent="0.25">
      <c r="A7" s="15">
        <v>45881</v>
      </c>
      <c r="B7" s="26">
        <v>0.33333333333333331</v>
      </c>
      <c r="C7" s="9" t="s">
        <v>60</v>
      </c>
      <c r="D7" s="9" t="s">
        <v>22</v>
      </c>
      <c r="E7" s="9" t="s">
        <v>22</v>
      </c>
      <c r="F7" s="9" t="s">
        <v>22</v>
      </c>
      <c r="G7" s="31">
        <f>IF(D6="run",_xlfn.DAYS($A7,$A6),0)</f>
        <v>1</v>
      </c>
      <c r="H7" s="31">
        <f t="shared" ref="H7:I7" si="0">IF(E6="run",_xlfn.DAYS($A7,$A6),0)</f>
        <v>1</v>
      </c>
      <c r="I7" s="31">
        <f t="shared" si="0"/>
        <v>1</v>
      </c>
      <c r="J7" s="22"/>
      <c r="K7" s="22"/>
      <c r="L7" s="22"/>
      <c r="M7" s="22"/>
      <c r="N7" s="22"/>
      <c r="O7" s="22"/>
      <c r="P7" s="22"/>
      <c r="Q7" s="22"/>
      <c r="R7" s="22"/>
      <c r="S7" s="3"/>
      <c r="U7" s="2"/>
      <c r="V7" s="3"/>
      <c r="X7" s="2"/>
    </row>
    <row r="8" spans="1:28" x14ac:dyDescent="0.25">
      <c r="A8" s="15">
        <f>A$7</f>
        <v>45881</v>
      </c>
      <c r="B8" s="26">
        <v>0.35972222222222222</v>
      </c>
      <c r="C8" s="9" t="s">
        <v>86</v>
      </c>
      <c r="D8" s="9" t="s">
        <v>22</v>
      </c>
      <c r="E8" s="9" t="s">
        <v>22</v>
      </c>
      <c r="F8" s="9" t="s">
        <v>22</v>
      </c>
      <c r="G8" s="31">
        <f t="shared" ref="G8:G33" si="1">IF(D7="run",_xlfn.DAYS($A8,$A7),0)</f>
        <v>0</v>
      </c>
      <c r="H8" s="31">
        <f t="shared" ref="H8:H33" si="2">IF(E7="run",_xlfn.DAYS($A8,$A7),0)</f>
        <v>0</v>
      </c>
      <c r="I8" s="31">
        <f t="shared" ref="I8:I33" si="3">IF(F7="run",_xlfn.DAYS($A8,$A7),0)</f>
        <v>0</v>
      </c>
      <c r="J8" s="22"/>
      <c r="K8" s="22"/>
      <c r="L8" s="22"/>
      <c r="M8" s="22"/>
      <c r="N8" s="22"/>
      <c r="O8" s="22"/>
      <c r="P8" s="22"/>
      <c r="Q8" s="22"/>
      <c r="R8" s="22"/>
      <c r="S8" s="3"/>
      <c r="U8" s="2"/>
      <c r="V8" s="3"/>
      <c r="X8" s="2"/>
      <c r="AB8" s="14"/>
    </row>
    <row r="9" spans="1:28" ht="17.25" customHeight="1" x14ac:dyDescent="0.25">
      <c r="A9" s="15">
        <f t="shared" ref="A9:A11" si="4">A$7</f>
        <v>45881</v>
      </c>
      <c r="B9" s="26">
        <v>0.39444444444444443</v>
      </c>
      <c r="C9" s="9" t="s">
        <v>87</v>
      </c>
      <c r="D9" s="9" t="s">
        <v>57</v>
      </c>
      <c r="E9" s="9" t="s">
        <v>57</v>
      </c>
      <c r="F9" s="9" t="s">
        <v>57</v>
      </c>
      <c r="G9" s="31">
        <f t="shared" si="1"/>
        <v>0</v>
      </c>
      <c r="H9" s="31">
        <f t="shared" si="2"/>
        <v>0</v>
      </c>
      <c r="I9" s="31">
        <f t="shared" si="3"/>
        <v>0</v>
      </c>
      <c r="J9" s="22"/>
      <c r="K9" s="22"/>
      <c r="L9" s="22"/>
      <c r="M9" s="22"/>
      <c r="N9" s="22"/>
      <c r="O9" s="22"/>
      <c r="P9" s="22"/>
      <c r="Q9" s="22"/>
      <c r="R9" s="22"/>
      <c r="S9" s="3"/>
      <c r="U9" s="2"/>
      <c r="V9" s="3"/>
      <c r="X9" s="2"/>
    </row>
    <row r="10" spans="1:28" x14ac:dyDescent="0.25">
      <c r="A10" s="15">
        <f t="shared" si="4"/>
        <v>45881</v>
      </c>
      <c r="B10" s="26">
        <v>0.41666666666666669</v>
      </c>
      <c r="C10" s="9" t="s">
        <v>88</v>
      </c>
      <c r="D10" s="9" t="s">
        <v>22</v>
      </c>
      <c r="E10" s="9" t="s">
        <v>22</v>
      </c>
      <c r="F10" s="9" t="s">
        <v>22</v>
      </c>
      <c r="G10" s="31">
        <f t="shared" si="1"/>
        <v>0</v>
      </c>
      <c r="H10" s="31">
        <f t="shared" si="2"/>
        <v>0</v>
      </c>
      <c r="I10" s="31">
        <f t="shared" si="3"/>
        <v>0</v>
      </c>
      <c r="J10" s="22"/>
      <c r="K10" s="22"/>
      <c r="L10" s="22"/>
      <c r="M10" s="22"/>
      <c r="N10" s="22"/>
      <c r="O10" s="22"/>
      <c r="P10" s="22"/>
      <c r="Q10" s="22"/>
      <c r="R10" s="22"/>
      <c r="S10" s="3"/>
      <c r="U10" s="2"/>
      <c r="V10" s="3"/>
      <c r="X10" s="2"/>
    </row>
    <row r="11" spans="1:28" x14ac:dyDescent="0.25">
      <c r="A11" s="15">
        <f t="shared" si="4"/>
        <v>45881</v>
      </c>
      <c r="B11" s="26">
        <v>0.43055555555555558</v>
      </c>
      <c r="C11" s="9" t="s">
        <v>89</v>
      </c>
      <c r="D11" s="9" t="s">
        <v>22</v>
      </c>
      <c r="E11" s="9" t="s">
        <v>22</v>
      </c>
      <c r="F11" s="9" t="s">
        <v>22</v>
      </c>
      <c r="G11" s="31">
        <f t="shared" si="1"/>
        <v>0</v>
      </c>
      <c r="H11" s="31">
        <f t="shared" si="2"/>
        <v>0</v>
      </c>
      <c r="I11" s="31">
        <f t="shared" si="3"/>
        <v>0</v>
      </c>
      <c r="J11" s="22"/>
      <c r="K11" s="22"/>
      <c r="L11" s="22"/>
      <c r="M11" s="22"/>
      <c r="N11" s="22"/>
      <c r="O11" s="22"/>
      <c r="P11" s="22"/>
      <c r="Q11" s="22"/>
      <c r="R11" s="22"/>
      <c r="S11" s="3"/>
      <c r="U11" s="2"/>
      <c r="V11" s="3"/>
      <c r="X11" s="2"/>
    </row>
    <row r="12" spans="1:28" x14ac:dyDescent="0.25">
      <c r="A12" s="15">
        <v>45882</v>
      </c>
      <c r="B12" s="26">
        <v>0.28611111111111109</v>
      </c>
      <c r="C12" s="9" t="s">
        <v>90</v>
      </c>
      <c r="D12" s="9" t="s">
        <v>22</v>
      </c>
      <c r="E12" s="9" t="s">
        <v>22</v>
      </c>
      <c r="F12" s="9" t="s">
        <v>22</v>
      </c>
      <c r="G12" s="31">
        <f t="shared" si="1"/>
        <v>1</v>
      </c>
      <c r="H12" s="31">
        <f t="shared" si="2"/>
        <v>1</v>
      </c>
      <c r="I12" s="31">
        <f t="shared" si="3"/>
        <v>1</v>
      </c>
      <c r="J12" s="22"/>
      <c r="K12" s="22"/>
      <c r="L12" s="22"/>
      <c r="M12" s="22"/>
      <c r="N12" s="22"/>
      <c r="O12" s="22"/>
      <c r="P12" s="22"/>
      <c r="Q12" s="22"/>
      <c r="R12" s="22"/>
      <c r="S12" s="3"/>
      <c r="U12" s="2"/>
      <c r="V12" s="3"/>
      <c r="X12" s="2"/>
    </row>
    <row r="13" spans="1:28" x14ac:dyDescent="0.25">
      <c r="A13" s="15">
        <f>A$12</f>
        <v>45882</v>
      </c>
      <c r="B13" s="26">
        <v>0.3</v>
      </c>
      <c r="C13" s="9" t="s">
        <v>91</v>
      </c>
      <c r="D13" s="9" t="s">
        <v>22</v>
      </c>
      <c r="E13" s="9" t="s">
        <v>22</v>
      </c>
      <c r="F13" s="9" t="s">
        <v>22</v>
      </c>
      <c r="G13" s="31">
        <f t="shared" si="1"/>
        <v>0</v>
      </c>
      <c r="H13" s="31">
        <f t="shared" si="2"/>
        <v>0</v>
      </c>
      <c r="I13" s="31">
        <f t="shared" si="3"/>
        <v>0</v>
      </c>
      <c r="J13" s="22"/>
      <c r="K13" s="22"/>
      <c r="L13" s="22"/>
      <c r="M13" s="22"/>
      <c r="N13" s="22"/>
      <c r="O13" s="22"/>
      <c r="P13" s="22"/>
      <c r="Q13" s="22"/>
      <c r="R13" s="22"/>
      <c r="S13" s="3"/>
      <c r="U13" s="2"/>
      <c r="V13" s="3"/>
      <c r="X13" s="2"/>
    </row>
    <row r="14" spans="1:28" x14ac:dyDescent="0.25">
      <c r="A14" s="15">
        <f t="shared" ref="A14:A16" si="5">A$12</f>
        <v>45882</v>
      </c>
      <c r="B14" s="26">
        <v>0.55069444444444449</v>
      </c>
      <c r="C14" s="9" t="s">
        <v>92</v>
      </c>
      <c r="D14" s="9" t="s">
        <v>22</v>
      </c>
      <c r="E14" s="9" t="s">
        <v>22</v>
      </c>
      <c r="F14" s="9" t="s">
        <v>22</v>
      </c>
      <c r="G14" s="31">
        <f t="shared" si="1"/>
        <v>0</v>
      </c>
      <c r="H14" s="31">
        <f t="shared" si="2"/>
        <v>0</v>
      </c>
      <c r="I14" s="31">
        <f t="shared" si="3"/>
        <v>0</v>
      </c>
      <c r="J14" s="22"/>
      <c r="K14" s="22"/>
      <c r="L14" s="22"/>
      <c r="M14" s="22"/>
      <c r="N14" s="22"/>
      <c r="O14" s="22"/>
      <c r="P14" s="22"/>
      <c r="Q14" s="22"/>
      <c r="R14" s="22"/>
      <c r="S14" s="3"/>
      <c r="U14" s="2"/>
      <c r="V14" s="3"/>
      <c r="X14" s="2"/>
    </row>
    <row r="15" spans="1:28" ht="30" x14ac:dyDescent="0.25">
      <c r="A15" s="15">
        <f t="shared" si="5"/>
        <v>45882</v>
      </c>
      <c r="B15" s="26">
        <v>0.69236111111111109</v>
      </c>
      <c r="C15" s="9" t="s">
        <v>93</v>
      </c>
      <c r="D15" s="9" t="s">
        <v>22</v>
      </c>
      <c r="E15" s="9" t="s">
        <v>22</v>
      </c>
      <c r="F15" s="9" t="s">
        <v>22</v>
      </c>
      <c r="G15" s="31">
        <f t="shared" si="1"/>
        <v>0</v>
      </c>
      <c r="H15" s="31">
        <f t="shared" si="2"/>
        <v>0</v>
      </c>
      <c r="I15" s="31">
        <f t="shared" si="3"/>
        <v>0</v>
      </c>
      <c r="J15" s="22"/>
      <c r="K15" s="22"/>
      <c r="L15" s="22"/>
      <c r="M15" s="22"/>
      <c r="N15" s="22"/>
      <c r="O15" s="22"/>
      <c r="P15" s="22"/>
      <c r="Q15" s="22"/>
      <c r="R15" s="22"/>
      <c r="S15" s="3"/>
      <c r="U15" s="2"/>
      <c r="V15" s="3"/>
      <c r="X15" s="2"/>
    </row>
    <row r="16" spans="1:28" x14ac:dyDescent="0.25">
      <c r="A16" s="15">
        <f t="shared" si="5"/>
        <v>45882</v>
      </c>
      <c r="B16" s="26">
        <v>0.70347222222222228</v>
      </c>
      <c r="C16" s="9" t="s">
        <v>94</v>
      </c>
      <c r="D16" s="9" t="s">
        <v>22</v>
      </c>
      <c r="E16" s="9" t="s">
        <v>22</v>
      </c>
      <c r="F16" s="9" t="s">
        <v>22</v>
      </c>
      <c r="G16" s="31">
        <f t="shared" si="1"/>
        <v>0</v>
      </c>
      <c r="H16" s="31">
        <f t="shared" si="2"/>
        <v>0</v>
      </c>
      <c r="I16" s="31">
        <f t="shared" si="3"/>
        <v>0</v>
      </c>
      <c r="J16" s="22"/>
      <c r="K16" s="22"/>
      <c r="L16" s="22"/>
      <c r="M16" s="22"/>
      <c r="N16" s="22"/>
      <c r="O16" s="22"/>
      <c r="P16" s="22"/>
      <c r="Q16" s="22"/>
      <c r="R16" s="22"/>
      <c r="S16" s="3"/>
      <c r="U16" s="2"/>
      <c r="V16" s="3"/>
      <c r="X16" s="2"/>
    </row>
    <row r="17" spans="1:24" ht="45" x14ac:dyDescent="0.25">
      <c r="A17" s="15">
        <v>45883</v>
      </c>
      <c r="B17" s="28" t="s">
        <v>95</v>
      </c>
      <c r="C17" s="9" t="s">
        <v>96</v>
      </c>
      <c r="D17" s="9" t="s">
        <v>22</v>
      </c>
      <c r="E17" s="9" t="s">
        <v>22</v>
      </c>
      <c r="F17" s="9" t="s">
        <v>22</v>
      </c>
      <c r="G17" s="31">
        <f t="shared" si="1"/>
        <v>1</v>
      </c>
      <c r="H17" s="31">
        <f t="shared" si="2"/>
        <v>1</v>
      </c>
      <c r="I17" s="31">
        <f t="shared" si="3"/>
        <v>1</v>
      </c>
      <c r="J17" s="23"/>
      <c r="K17" s="23"/>
      <c r="L17" s="23"/>
      <c r="M17" s="23"/>
      <c r="N17" s="23"/>
      <c r="O17" s="23"/>
      <c r="P17" s="23"/>
      <c r="Q17" s="23"/>
      <c r="R17" s="23"/>
      <c r="S17" s="3"/>
      <c r="U17" s="2"/>
      <c r="V17" s="3"/>
      <c r="X17" s="2"/>
    </row>
    <row r="18" spans="1:24" x14ac:dyDescent="0.25">
      <c r="A18" s="15">
        <v>45888</v>
      </c>
      <c r="B18" s="26">
        <v>0.44027777777777777</v>
      </c>
      <c r="C18" s="9" t="s">
        <v>97</v>
      </c>
      <c r="D18" s="9" t="s">
        <v>22</v>
      </c>
      <c r="E18" s="9" t="s">
        <v>22</v>
      </c>
      <c r="F18" s="9" t="s">
        <v>22</v>
      </c>
      <c r="G18" s="31">
        <f t="shared" si="1"/>
        <v>5</v>
      </c>
      <c r="H18" s="31">
        <f t="shared" si="2"/>
        <v>5</v>
      </c>
      <c r="I18" s="31">
        <f t="shared" si="3"/>
        <v>5</v>
      </c>
      <c r="J18" s="22"/>
      <c r="K18" s="22"/>
      <c r="L18" s="22"/>
      <c r="M18" s="22"/>
      <c r="N18" s="22"/>
      <c r="O18" s="22"/>
      <c r="P18" s="22"/>
      <c r="Q18" s="22"/>
      <c r="R18" s="22"/>
      <c r="S18" s="3"/>
      <c r="U18" s="2"/>
      <c r="V18" s="3"/>
      <c r="X18" s="2"/>
    </row>
    <row r="19" spans="1:24" x14ac:dyDescent="0.25">
      <c r="A19" s="15">
        <f>A$18</f>
        <v>45888</v>
      </c>
      <c r="B19" s="26">
        <v>0.44374999999999998</v>
      </c>
      <c r="C19" s="9" t="s">
        <v>98</v>
      </c>
      <c r="D19" s="9" t="s">
        <v>22</v>
      </c>
      <c r="E19" s="9" t="s">
        <v>22</v>
      </c>
      <c r="F19" s="9" t="s">
        <v>22</v>
      </c>
      <c r="G19" s="31">
        <f t="shared" si="1"/>
        <v>0</v>
      </c>
      <c r="H19" s="31">
        <f t="shared" si="2"/>
        <v>0</v>
      </c>
      <c r="I19" s="31">
        <f t="shared" si="3"/>
        <v>0</v>
      </c>
      <c r="J19" s="22"/>
      <c r="K19" s="22"/>
      <c r="L19" s="22"/>
      <c r="M19" s="22"/>
      <c r="N19" s="22"/>
      <c r="O19" s="22"/>
      <c r="P19" s="22"/>
      <c r="Q19" s="22"/>
      <c r="R19" s="22"/>
      <c r="S19" s="3"/>
      <c r="U19" s="2"/>
      <c r="V19" s="3"/>
      <c r="X19" s="2"/>
    </row>
    <row r="20" spans="1:24" x14ac:dyDescent="0.25">
      <c r="A20" s="15">
        <f t="shared" ref="A20:A22" si="6">A$18</f>
        <v>45888</v>
      </c>
      <c r="B20" s="26">
        <v>0.57152777777777775</v>
      </c>
      <c r="C20" s="9" t="s">
        <v>99</v>
      </c>
      <c r="D20" s="9" t="s">
        <v>22</v>
      </c>
      <c r="E20" s="9" t="s">
        <v>22</v>
      </c>
      <c r="F20" s="9" t="s">
        <v>22</v>
      </c>
      <c r="G20" s="31">
        <f t="shared" si="1"/>
        <v>0</v>
      </c>
      <c r="H20" s="31">
        <f t="shared" si="2"/>
        <v>0</v>
      </c>
      <c r="I20" s="31">
        <f t="shared" si="3"/>
        <v>0</v>
      </c>
      <c r="J20" s="22"/>
      <c r="K20" s="22"/>
      <c r="L20" s="22"/>
      <c r="M20" s="22"/>
      <c r="N20" s="22"/>
      <c r="O20" s="22"/>
      <c r="P20" s="22"/>
      <c r="Q20" s="22"/>
      <c r="R20" s="22"/>
      <c r="S20" s="3"/>
      <c r="U20" s="2"/>
      <c r="V20" s="3"/>
      <c r="X20" s="2"/>
    </row>
    <row r="21" spans="1:24" x14ac:dyDescent="0.25">
      <c r="A21" s="15">
        <f t="shared" si="6"/>
        <v>45888</v>
      </c>
      <c r="B21" s="26"/>
      <c r="C21" s="9" t="s">
        <v>100</v>
      </c>
      <c r="D21" s="9" t="s">
        <v>22</v>
      </c>
      <c r="E21" s="9" t="s">
        <v>22</v>
      </c>
      <c r="F21" s="9" t="s">
        <v>22</v>
      </c>
      <c r="G21" s="31">
        <f t="shared" si="1"/>
        <v>0</v>
      </c>
      <c r="H21" s="31">
        <f t="shared" si="2"/>
        <v>0</v>
      </c>
      <c r="I21" s="31">
        <f t="shared" si="3"/>
        <v>0</v>
      </c>
      <c r="J21" s="22"/>
      <c r="K21" s="22"/>
      <c r="L21" s="22"/>
      <c r="M21" s="22"/>
      <c r="N21" s="22"/>
      <c r="O21" s="22"/>
      <c r="P21" s="22"/>
      <c r="Q21" s="22"/>
      <c r="R21" s="22"/>
      <c r="S21" s="3"/>
      <c r="U21" s="2"/>
      <c r="V21" s="3"/>
      <c r="X21" s="2"/>
    </row>
    <row r="22" spans="1:24" x14ac:dyDescent="0.25">
      <c r="A22" s="15">
        <f t="shared" si="6"/>
        <v>45888</v>
      </c>
      <c r="B22" s="26">
        <v>0.71527777777777779</v>
      </c>
      <c r="C22" s="9" t="s">
        <v>101</v>
      </c>
      <c r="D22" s="9" t="s">
        <v>22</v>
      </c>
      <c r="E22" s="9" t="s">
        <v>22</v>
      </c>
      <c r="F22" s="9" t="s">
        <v>22</v>
      </c>
      <c r="G22" s="31">
        <f t="shared" si="1"/>
        <v>0</v>
      </c>
      <c r="H22" s="31">
        <f t="shared" si="2"/>
        <v>0</v>
      </c>
      <c r="I22" s="31">
        <f t="shared" si="3"/>
        <v>0</v>
      </c>
      <c r="J22" s="22"/>
      <c r="K22" s="22"/>
      <c r="L22" s="22"/>
      <c r="M22" s="22"/>
      <c r="N22" s="22"/>
      <c r="O22" s="22"/>
      <c r="P22" s="22"/>
      <c r="Q22" s="22"/>
      <c r="R22" s="22"/>
      <c r="S22" s="3"/>
      <c r="U22" s="2"/>
      <c r="V22" s="3"/>
      <c r="X22" s="2"/>
    </row>
    <row r="23" spans="1:24" x14ac:dyDescent="0.25">
      <c r="A23" s="15">
        <v>45889</v>
      </c>
      <c r="B23" s="26">
        <v>0.50069444444444444</v>
      </c>
      <c r="C23" s="9" t="s">
        <v>102</v>
      </c>
      <c r="D23" s="9" t="s">
        <v>22</v>
      </c>
      <c r="E23" s="9" t="s">
        <v>22</v>
      </c>
      <c r="F23" s="9" t="s">
        <v>22</v>
      </c>
      <c r="G23" s="31">
        <f t="shared" si="1"/>
        <v>1</v>
      </c>
      <c r="H23" s="31">
        <f t="shared" si="2"/>
        <v>1</v>
      </c>
      <c r="I23" s="31">
        <f t="shared" si="3"/>
        <v>1</v>
      </c>
      <c r="J23" s="22"/>
      <c r="K23" s="22"/>
      <c r="L23" s="22"/>
      <c r="M23" s="22"/>
      <c r="N23" s="22"/>
      <c r="O23" s="22"/>
      <c r="P23" s="22"/>
      <c r="Q23" s="22"/>
      <c r="R23" s="22"/>
      <c r="S23" s="3"/>
      <c r="U23" s="2"/>
      <c r="V23" s="3"/>
      <c r="X23" s="2"/>
    </row>
    <row r="24" spans="1:24" x14ac:dyDescent="0.25">
      <c r="A24" s="15">
        <v>45891</v>
      </c>
      <c r="B24" s="26">
        <v>0.75277777777777777</v>
      </c>
      <c r="C24" s="9" t="s">
        <v>103</v>
      </c>
      <c r="D24" s="9" t="s">
        <v>57</v>
      </c>
      <c r="E24" s="9" t="s">
        <v>22</v>
      </c>
      <c r="F24" s="9" t="s">
        <v>22</v>
      </c>
      <c r="G24" s="31">
        <f t="shared" si="1"/>
        <v>2</v>
      </c>
      <c r="H24" s="31">
        <f t="shared" si="2"/>
        <v>2</v>
      </c>
      <c r="I24" s="31">
        <f t="shared" si="3"/>
        <v>2</v>
      </c>
      <c r="J24" s="22"/>
      <c r="K24" s="22"/>
      <c r="L24" s="22"/>
      <c r="M24" s="22"/>
      <c r="N24" s="22"/>
      <c r="O24" s="22"/>
      <c r="P24" s="22"/>
      <c r="Q24" s="22"/>
      <c r="R24" s="22"/>
      <c r="S24" s="3"/>
      <c r="U24" s="2"/>
      <c r="V24" s="3"/>
      <c r="X24" s="2"/>
    </row>
    <row r="25" spans="1:24" x14ac:dyDescent="0.25">
      <c r="A25" s="15">
        <v>45894</v>
      </c>
      <c r="B25" s="26">
        <v>0.38541666666666669</v>
      </c>
      <c r="C25" s="9" t="s">
        <v>71</v>
      </c>
      <c r="D25" s="9" t="s">
        <v>57</v>
      </c>
      <c r="E25" s="9" t="s">
        <v>57</v>
      </c>
      <c r="F25" s="9" t="s">
        <v>57</v>
      </c>
      <c r="G25" s="31">
        <f t="shared" si="1"/>
        <v>0</v>
      </c>
      <c r="H25" s="31">
        <f t="shared" si="2"/>
        <v>3</v>
      </c>
      <c r="I25" s="31">
        <f t="shared" si="3"/>
        <v>3</v>
      </c>
      <c r="J25" s="22"/>
      <c r="K25" s="22"/>
      <c r="L25" s="22"/>
      <c r="M25" s="22"/>
      <c r="N25" s="22"/>
      <c r="O25" s="22"/>
      <c r="P25" s="22"/>
      <c r="Q25" s="22"/>
      <c r="R25" s="22"/>
      <c r="S25" s="3"/>
      <c r="U25" s="2"/>
      <c r="V25" s="3"/>
      <c r="X25" s="2"/>
    </row>
    <row r="26" spans="1:24" x14ac:dyDescent="0.25">
      <c r="A26" s="15">
        <v>45894</v>
      </c>
      <c r="B26" s="26">
        <v>0.47291666666666665</v>
      </c>
      <c r="C26" s="9" t="s">
        <v>104</v>
      </c>
      <c r="D26" s="9" t="s">
        <v>57</v>
      </c>
      <c r="E26" s="9" t="s">
        <v>22</v>
      </c>
      <c r="F26" s="9" t="s">
        <v>22</v>
      </c>
      <c r="G26" s="31">
        <f t="shared" si="1"/>
        <v>0</v>
      </c>
      <c r="H26" s="31">
        <f t="shared" si="2"/>
        <v>0</v>
      </c>
      <c r="I26" s="31">
        <f t="shared" si="3"/>
        <v>0</v>
      </c>
      <c r="J26" s="22"/>
      <c r="K26" s="22"/>
      <c r="L26" s="22"/>
      <c r="M26" s="22"/>
      <c r="N26" s="22"/>
      <c r="O26" s="22"/>
      <c r="P26" s="22"/>
      <c r="Q26" s="22"/>
      <c r="R26" s="22"/>
      <c r="S26" s="3"/>
      <c r="U26" s="2"/>
      <c r="V26" s="3"/>
      <c r="X26" s="2"/>
    </row>
    <row r="27" spans="1:24" x14ac:dyDescent="0.25">
      <c r="A27" s="15">
        <v>45894</v>
      </c>
      <c r="B27" s="26">
        <v>0.49375000000000002</v>
      </c>
      <c r="C27" s="9" t="s">
        <v>105</v>
      </c>
      <c r="D27" s="9" t="s">
        <v>22</v>
      </c>
      <c r="E27" s="9" t="s">
        <v>22</v>
      </c>
      <c r="F27" s="9" t="s">
        <v>22</v>
      </c>
      <c r="G27" s="31">
        <f t="shared" si="1"/>
        <v>0</v>
      </c>
      <c r="H27" s="31">
        <f t="shared" si="2"/>
        <v>0</v>
      </c>
      <c r="I27" s="31">
        <f t="shared" si="3"/>
        <v>0</v>
      </c>
      <c r="J27" s="22"/>
      <c r="K27" s="22"/>
      <c r="L27" s="22"/>
      <c r="M27" s="22"/>
      <c r="N27" s="22"/>
      <c r="O27" s="22"/>
      <c r="P27" s="22"/>
      <c r="Q27" s="22"/>
      <c r="R27" s="22"/>
      <c r="S27" s="3"/>
      <c r="U27" s="2"/>
      <c r="V27" s="3"/>
      <c r="X27" s="2"/>
    </row>
    <row r="28" spans="1:24" x14ac:dyDescent="0.25">
      <c r="A28" s="15">
        <v>45894</v>
      </c>
      <c r="B28" s="27">
        <v>0.5395833333333333</v>
      </c>
      <c r="C28" s="9" t="s">
        <v>106</v>
      </c>
      <c r="D28" s="1" t="s">
        <v>57</v>
      </c>
      <c r="E28" s="9" t="s">
        <v>22</v>
      </c>
      <c r="F28" s="9" t="s">
        <v>22</v>
      </c>
      <c r="G28" s="31">
        <f t="shared" si="1"/>
        <v>0</v>
      </c>
      <c r="H28" s="31">
        <f t="shared" si="2"/>
        <v>0</v>
      </c>
      <c r="I28" s="31">
        <f t="shared" si="3"/>
        <v>0</v>
      </c>
      <c r="J28" s="22"/>
      <c r="K28" s="22"/>
      <c r="L28" s="22"/>
      <c r="M28" s="22"/>
      <c r="N28" s="22"/>
      <c r="O28" s="22"/>
      <c r="P28" s="22"/>
      <c r="Q28" s="22"/>
      <c r="R28" s="22"/>
      <c r="S28" s="3"/>
      <c r="U28" s="2"/>
      <c r="V28" s="3"/>
      <c r="X28" s="2"/>
    </row>
    <row r="29" spans="1:24" x14ac:dyDescent="0.25">
      <c r="A29" s="15">
        <v>45896</v>
      </c>
      <c r="B29" s="26">
        <v>0.42638888888888887</v>
      </c>
      <c r="C29" s="9" t="s">
        <v>71</v>
      </c>
      <c r="D29" s="9" t="s">
        <v>57</v>
      </c>
      <c r="E29" s="9" t="s">
        <v>57</v>
      </c>
      <c r="F29" s="9" t="s">
        <v>57</v>
      </c>
      <c r="G29" s="31">
        <f t="shared" si="1"/>
        <v>0</v>
      </c>
      <c r="H29" s="31">
        <f t="shared" si="2"/>
        <v>2</v>
      </c>
      <c r="I29" s="31">
        <f t="shared" si="3"/>
        <v>2</v>
      </c>
      <c r="J29" s="22"/>
      <c r="K29" s="22"/>
      <c r="L29" s="22"/>
      <c r="M29" s="22"/>
      <c r="N29" s="22"/>
      <c r="O29" s="22"/>
      <c r="P29" s="22"/>
      <c r="Q29" s="22"/>
      <c r="R29" s="22"/>
      <c r="S29" s="3"/>
      <c r="U29" s="2"/>
      <c r="V29" s="3"/>
      <c r="X29" s="2"/>
    </row>
    <row r="30" spans="1:24" x14ac:dyDescent="0.25">
      <c r="A30" s="15">
        <v>45896</v>
      </c>
      <c r="B30" s="27">
        <v>0.65972222222222221</v>
      </c>
      <c r="C30" s="9" t="s">
        <v>107</v>
      </c>
      <c r="D30" s="9" t="s">
        <v>57</v>
      </c>
      <c r="E30" s="9" t="s">
        <v>57</v>
      </c>
      <c r="F30" s="9" t="s">
        <v>57</v>
      </c>
      <c r="G30" s="31">
        <f t="shared" si="1"/>
        <v>0</v>
      </c>
      <c r="H30" s="31">
        <f t="shared" si="2"/>
        <v>0</v>
      </c>
      <c r="I30" s="31">
        <f t="shared" si="3"/>
        <v>0</v>
      </c>
      <c r="J30" s="22"/>
      <c r="K30" s="22"/>
      <c r="L30" s="22"/>
      <c r="M30" s="22"/>
      <c r="N30" s="22"/>
      <c r="O30" s="22"/>
      <c r="P30" s="22"/>
      <c r="Q30" s="22"/>
      <c r="R30" s="22"/>
      <c r="S30" s="3"/>
      <c r="U30" s="2"/>
      <c r="V30" s="3"/>
      <c r="X30" s="2"/>
    </row>
    <row r="31" spans="1:24" x14ac:dyDescent="0.25">
      <c r="A31" s="15">
        <f>A30</f>
        <v>45896</v>
      </c>
      <c r="B31" s="26"/>
      <c r="C31" s="9" t="s">
        <v>108</v>
      </c>
      <c r="D31" s="9" t="s">
        <v>57</v>
      </c>
      <c r="E31" s="9" t="s">
        <v>57</v>
      </c>
      <c r="F31" s="9" t="s">
        <v>57</v>
      </c>
      <c r="G31" s="31">
        <f t="shared" si="1"/>
        <v>0</v>
      </c>
      <c r="H31" s="31">
        <f t="shared" si="2"/>
        <v>0</v>
      </c>
      <c r="I31" s="31">
        <f t="shared" si="3"/>
        <v>0</v>
      </c>
      <c r="J31" s="22"/>
      <c r="K31" s="22"/>
      <c r="L31" s="22"/>
      <c r="M31" s="22"/>
      <c r="N31" s="22"/>
      <c r="O31" s="22"/>
      <c r="P31" s="22"/>
      <c r="Q31" s="22"/>
      <c r="R31" s="22"/>
      <c r="S31" s="3"/>
      <c r="U31" s="2"/>
      <c r="V31" s="3"/>
      <c r="X31" s="2"/>
    </row>
    <row r="32" spans="1:24" x14ac:dyDescent="0.25">
      <c r="A32" s="15">
        <v>45929</v>
      </c>
      <c r="B32" s="26">
        <v>0.58472222222222225</v>
      </c>
      <c r="C32" s="9" t="s">
        <v>109</v>
      </c>
      <c r="D32" s="9" t="s">
        <v>57</v>
      </c>
      <c r="E32" s="9" t="s">
        <v>57</v>
      </c>
      <c r="F32" s="9" t="s">
        <v>57</v>
      </c>
      <c r="G32" s="31">
        <f t="shared" si="1"/>
        <v>0</v>
      </c>
      <c r="H32" s="31">
        <f t="shared" si="2"/>
        <v>0</v>
      </c>
      <c r="I32" s="31">
        <f t="shared" si="3"/>
        <v>0</v>
      </c>
      <c r="J32" s="22"/>
      <c r="K32" s="22"/>
      <c r="L32" s="22"/>
      <c r="M32" s="22"/>
      <c r="N32" s="22"/>
      <c r="O32" s="22"/>
      <c r="P32" s="22"/>
      <c r="Q32" s="22"/>
      <c r="R32" s="22"/>
      <c r="S32" s="3"/>
      <c r="U32" s="2"/>
      <c r="V32" s="3"/>
      <c r="X32" s="2"/>
    </row>
    <row r="33" spans="1:24" x14ac:dyDescent="0.25">
      <c r="A33" s="15">
        <v>45930</v>
      </c>
      <c r="B33" s="26">
        <v>0.58819444444444446</v>
      </c>
      <c r="C33" s="9" t="s">
        <v>110</v>
      </c>
      <c r="D33" s="9" t="s">
        <v>57</v>
      </c>
      <c r="E33" s="9" t="s">
        <v>57</v>
      </c>
      <c r="F33" s="9" t="s">
        <v>57</v>
      </c>
      <c r="G33" s="31">
        <f t="shared" si="1"/>
        <v>0</v>
      </c>
      <c r="H33" s="31">
        <f t="shared" si="2"/>
        <v>0</v>
      </c>
      <c r="I33" s="31">
        <f t="shared" si="3"/>
        <v>0</v>
      </c>
      <c r="J33" s="22"/>
      <c r="K33" s="22"/>
      <c r="L33" s="22"/>
      <c r="M33" s="22"/>
      <c r="N33" s="22"/>
      <c r="O33" s="22"/>
      <c r="P33" s="22"/>
      <c r="Q33" s="22"/>
      <c r="R33" s="22"/>
      <c r="S33" s="3"/>
      <c r="U33" s="2"/>
      <c r="V33" s="3"/>
      <c r="X33" s="2"/>
    </row>
    <row r="34" spans="1:24" x14ac:dyDescent="0.25">
      <c r="A34" s="7"/>
      <c r="B34" s="19"/>
      <c r="C34" s="9"/>
      <c r="D34" s="9"/>
      <c r="E34" s="9"/>
      <c r="F34" s="9"/>
      <c r="G34" s="32"/>
      <c r="H34" s="32"/>
      <c r="I34" s="22"/>
      <c r="J34" s="22"/>
      <c r="K34" s="22"/>
      <c r="L34" s="22"/>
      <c r="M34" s="22"/>
      <c r="N34" s="22"/>
      <c r="O34" s="22"/>
      <c r="P34" s="22"/>
      <c r="Q34" s="22"/>
      <c r="R34" s="22"/>
      <c r="S34" s="3"/>
      <c r="U34" s="2"/>
      <c r="V34" s="3"/>
      <c r="X34" s="2"/>
    </row>
    <row r="35" spans="1:24" x14ac:dyDescent="0.25">
      <c r="A35" s="15"/>
      <c r="B35" s="19"/>
      <c r="C35" s="9"/>
      <c r="D35" s="9"/>
      <c r="E35" s="9"/>
      <c r="F35" s="33" t="s">
        <v>72</v>
      </c>
      <c r="G35" s="32">
        <f>SUM(G6:G33)*24</f>
        <v>264</v>
      </c>
      <c r="H35" s="32">
        <f t="shared" ref="H35:I35" si="7">SUM(H6:H33)*24</f>
        <v>384</v>
      </c>
      <c r="I35" s="32">
        <f t="shared" si="7"/>
        <v>384</v>
      </c>
      <c r="J35" s="22"/>
      <c r="K35" s="22"/>
      <c r="L35" s="22"/>
      <c r="M35" s="22"/>
      <c r="N35" s="22"/>
      <c r="O35" s="22"/>
      <c r="P35" s="22"/>
      <c r="Q35" s="22"/>
      <c r="R35" s="22"/>
      <c r="S35" s="3"/>
      <c r="U35" s="2"/>
      <c r="V35" s="3"/>
      <c r="X35" s="2"/>
    </row>
    <row r="36" spans="1:24" x14ac:dyDescent="0.25">
      <c r="A36" s="7"/>
      <c r="B36" s="19"/>
      <c r="C36" s="9"/>
      <c r="D36" s="9"/>
      <c r="E36" s="9"/>
      <c r="F36" s="33" t="s">
        <v>73</v>
      </c>
      <c r="G36" s="40">
        <f>G35*60*60/$B2</f>
        <v>189322.70916334662</v>
      </c>
      <c r="H36" s="40">
        <f>H35*60*60/$B2</f>
        <v>275378.48605577694</v>
      </c>
      <c r="I36" s="40">
        <f>I35*60*60/$B2</f>
        <v>275378.48605577694</v>
      </c>
      <c r="J36" s="22"/>
      <c r="K36" s="22"/>
      <c r="L36" s="22"/>
      <c r="M36" s="22"/>
      <c r="N36" s="22"/>
      <c r="O36" s="22"/>
      <c r="P36" s="22"/>
      <c r="Q36" s="22"/>
      <c r="R36" s="22"/>
      <c r="S36" s="3"/>
      <c r="U36" s="2"/>
      <c r="V36" s="3"/>
      <c r="X36" s="2"/>
    </row>
    <row r="37" spans="1:24" x14ac:dyDescent="0.25">
      <c r="A37" s="7"/>
      <c r="B37" s="19"/>
      <c r="C37" s="9"/>
      <c r="D37" s="34"/>
      <c r="E37" s="34"/>
      <c r="F37" s="35" t="s">
        <v>74</v>
      </c>
      <c r="G37" s="36">
        <f>G36*$B3/1000000</f>
        <v>71.942629482071709</v>
      </c>
      <c r="H37" s="36">
        <f>H36*$B3/1000000</f>
        <v>104.64382470119524</v>
      </c>
      <c r="I37" s="36">
        <f>I36*$B3/1000000</f>
        <v>104.64382470119524</v>
      </c>
      <c r="J37" s="22"/>
      <c r="K37" s="22"/>
      <c r="L37" s="22"/>
      <c r="M37" s="22"/>
      <c r="N37" s="22"/>
      <c r="O37" s="22"/>
      <c r="P37" s="22"/>
      <c r="Q37" s="22"/>
      <c r="R37" s="22"/>
      <c r="S37" s="3"/>
      <c r="U37" s="2"/>
      <c r="V37" s="3"/>
      <c r="X37" s="2"/>
    </row>
    <row r="38" spans="1:24" x14ac:dyDescent="0.25">
      <c r="A38" s="7"/>
      <c r="B38" s="7"/>
      <c r="C38" s="9"/>
      <c r="D38" s="9"/>
      <c r="E38" s="9"/>
      <c r="F38" s="9"/>
      <c r="G38" s="32"/>
      <c r="H38" s="32"/>
      <c r="I38" s="3"/>
      <c r="J38" s="22"/>
      <c r="K38" s="22"/>
      <c r="L38" s="22"/>
      <c r="M38" s="22"/>
      <c r="N38" s="22"/>
      <c r="O38" s="22"/>
      <c r="P38" s="22"/>
      <c r="Q38" s="22"/>
      <c r="R38" s="22"/>
      <c r="S38" s="3"/>
      <c r="U38" s="2"/>
      <c r="V38" s="3"/>
      <c r="X38" s="2"/>
    </row>
    <row r="39" spans="1:24" x14ac:dyDescent="0.25">
      <c r="A39" s="7"/>
      <c r="B39" s="7"/>
      <c r="C39" s="9"/>
      <c r="D39" s="9"/>
      <c r="E39" s="9"/>
      <c r="F39" s="9"/>
      <c r="G39" s="32"/>
      <c r="H39" s="32"/>
      <c r="I39" s="3"/>
      <c r="J39" s="3"/>
      <c r="K39" s="3"/>
      <c r="L39" s="3"/>
      <c r="M39" s="3"/>
      <c r="N39" s="3"/>
      <c r="O39" s="3"/>
      <c r="P39" s="3"/>
      <c r="Q39" s="3"/>
      <c r="R39" s="3"/>
      <c r="S39" s="3"/>
      <c r="U39" s="2"/>
      <c r="V39" s="3"/>
      <c r="X39" s="2"/>
    </row>
    <row r="40" spans="1:24" x14ac:dyDescent="0.25">
      <c r="A40" s="7"/>
      <c r="B40" s="19"/>
      <c r="C40" s="9"/>
      <c r="D40" s="9"/>
      <c r="E40" s="9"/>
      <c r="F40" s="9"/>
      <c r="G40" s="32"/>
      <c r="H40" s="32"/>
      <c r="I40" s="22"/>
      <c r="J40" s="3"/>
      <c r="K40" s="3"/>
      <c r="L40" s="3"/>
      <c r="M40" s="3"/>
      <c r="N40" s="3"/>
      <c r="O40" s="3"/>
      <c r="P40" s="3"/>
      <c r="Q40" s="3"/>
      <c r="R40" s="3"/>
      <c r="S40" s="3"/>
      <c r="U40" s="2"/>
      <c r="V40" s="3"/>
      <c r="X40" s="2"/>
    </row>
    <row r="41" spans="1:24" x14ac:dyDescent="0.25">
      <c r="A41" s="7"/>
      <c r="B41" s="19"/>
      <c r="C41" s="9"/>
      <c r="D41" s="9"/>
      <c r="E41" s="9"/>
      <c r="F41" s="9"/>
      <c r="G41" s="32"/>
      <c r="H41" s="32"/>
      <c r="I41" s="22"/>
      <c r="J41" s="22"/>
      <c r="K41" s="22"/>
      <c r="L41" s="22"/>
      <c r="M41" s="22"/>
      <c r="N41" s="22"/>
      <c r="O41" s="22"/>
      <c r="P41" s="22"/>
      <c r="Q41" s="22"/>
      <c r="R41" s="22"/>
      <c r="S41" s="3"/>
      <c r="U41" s="2"/>
      <c r="V41" s="3"/>
      <c r="X41" s="2"/>
    </row>
    <row r="42" spans="1:24" x14ac:dyDescent="0.25">
      <c r="A42" s="15"/>
      <c r="B42" s="19"/>
      <c r="C42" s="9"/>
      <c r="D42" s="9"/>
      <c r="E42" s="9"/>
      <c r="F42" s="9"/>
      <c r="G42" s="32"/>
      <c r="H42" s="32"/>
      <c r="I42" s="22"/>
      <c r="J42" s="22"/>
      <c r="K42" s="22"/>
      <c r="L42" s="22"/>
      <c r="M42" s="22"/>
      <c r="N42" s="22"/>
      <c r="O42" s="22"/>
      <c r="P42" s="22"/>
      <c r="Q42" s="22"/>
      <c r="R42" s="22"/>
      <c r="S42" s="3"/>
      <c r="U42" s="2"/>
      <c r="V42" s="3"/>
      <c r="X42" s="2"/>
    </row>
    <row r="43" spans="1:24" x14ac:dyDescent="0.25">
      <c r="A43" s="7"/>
      <c r="B43" s="19"/>
      <c r="C43" s="9"/>
      <c r="D43" s="9"/>
      <c r="E43" s="9"/>
      <c r="F43" s="9"/>
      <c r="G43" s="32"/>
      <c r="H43" s="32"/>
      <c r="I43" s="22"/>
      <c r="J43" s="22"/>
      <c r="K43" s="22"/>
      <c r="L43" s="22"/>
      <c r="M43" s="22"/>
      <c r="N43" s="22"/>
      <c r="O43" s="22"/>
      <c r="P43" s="22"/>
      <c r="Q43" s="22"/>
      <c r="R43" s="22"/>
      <c r="S43" s="3"/>
      <c r="U43" s="2"/>
      <c r="V43" s="3"/>
      <c r="X43" s="2"/>
    </row>
    <row r="44" spans="1:24" x14ac:dyDescent="0.25">
      <c r="A44" s="15"/>
      <c r="B44" s="19"/>
      <c r="C44" s="9"/>
      <c r="D44" s="9"/>
      <c r="E44" s="9"/>
      <c r="F44" s="9"/>
      <c r="G44" s="32"/>
      <c r="H44" s="32"/>
      <c r="I44" s="22"/>
      <c r="J44" s="22"/>
      <c r="K44" s="22"/>
      <c r="L44" s="22"/>
      <c r="M44" s="22"/>
      <c r="N44" s="22"/>
      <c r="O44" s="22"/>
      <c r="P44" s="22"/>
      <c r="Q44" s="22"/>
      <c r="R44" s="22"/>
      <c r="S44" s="3"/>
      <c r="U44" s="2"/>
      <c r="V44" s="3"/>
      <c r="X44" s="2"/>
    </row>
    <row r="45" spans="1:24" x14ac:dyDescent="0.25">
      <c r="A45" s="15"/>
      <c r="B45" s="19"/>
      <c r="C45" s="9"/>
      <c r="D45" s="9"/>
      <c r="E45" s="9"/>
      <c r="F45" s="9"/>
      <c r="G45" s="32"/>
      <c r="H45" s="32"/>
      <c r="I45" s="22"/>
      <c r="J45" s="22"/>
      <c r="K45" s="22"/>
      <c r="L45" s="22"/>
      <c r="M45" s="22"/>
      <c r="N45" s="22"/>
      <c r="O45" s="22"/>
      <c r="P45" s="22"/>
      <c r="Q45" s="22"/>
      <c r="R45" s="22"/>
      <c r="S45" s="3"/>
      <c r="U45" s="2"/>
      <c r="V45" s="3"/>
      <c r="X45" s="2"/>
    </row>
    <row r="46" spans="1:24" x14ac:dyDescent="0.25">
      <c r="A46" s="7"/>
      <c r="B46" s="19"/>
      <c r="C46" s="9"/>
      <c r="D46" s="9"/>
      <c r="E46" s="9"/>
      <c r="F46" s="9"/>
      <c r="G46" s="32"/>
      <c r="H46" s="32"/>
      <c r="I46" s="22"/>
      <c r="J46" s="22"/>
      <c r="K46" s="22"/>
      <c r="L46" s="22"/>
      <c r="M46" s="22"/>
      <c r="N46" s="22"/>
      <c r="O46" s="22"/>
      <c r="P46" s="22"/>
      <c r="Q46" s="22"/>
      <c r="R46" s="22"/>
      <c r="S46" s="3"/>
      <c r="U46" s="2"/>
      <c r="V46" s="3"/>
      <c r="X46" s="2"/>
    </row>
    <row r="47" spans="1:24" x14ac:dyDescent="0.25">
      <c r="A47" s="7"/>
      <c r="B47" s="19"/>
      <c r="C47" s="9"/>
      <c r="D47" s="9"/>
      <c r="E47" s="9"/>
      <c r="F47" s="9"/>
      <c r="G47" s="32"/>
      <c r="H47" s="32"/>
      <c r="I47" s="22"/>
      <c r="J47" s="22"/>
      <c r="K47" s="22"/>
      <c r="L47" s="22"/>
      <c r="M47" s="22"/>
      <c r="N47" s="22"/>
      <c r="O47" s="22"/>
      <c r="P47" s="22"/>
      <c r="Q47" s="22"/>
      <c r="R47" s="22"/>
      <c r="S47" s="3"/>
      <c r="U47" s="2"/>
      <c r="V47" s="3"/>
      <c r="X47" s="2"/>
    </row>
    <row r="48" spans="1:24" x14ac:dyDescent="0.25">
      <c r="A48" s="7"/>
      <c r="B48" s="19"/>
      <c r="C48" s="9"/>
      <c r="D48" s="9"/>
      <c r="E48" s="9"/>
      <c r="F48" s="9"/>
      <c r="G48" s="32"/>
      <c r="H48" s="32"/>
      <c r="I48" s="22"/>
      <c r="J48" s="22"/>
      <c r="K48" s="22"/>
      <c r="L48" s="22"/>
      <c r="M48" s="22"/>
      <c r="N48" s="22"/>
      <c r="O48" s="22"/>
      <c r="P48" s="22"/>
      <c r="Q48" s="22"/>
      <c r="R48" s="22"/>
      <c r="S48" s="3"/>
      <c r="U48" s="2"/>
      <c r="V48" s="3"/>
      <c r="X48" s="2"/>
    </row>
    <row r="49" spans="1:24" x14ac:dyDescent="0.25">
      <c r="A49" s="7"/>
      <c r="B49" s="19"/>
      <c r="C49" s="9"/>
      <c r="D49" s="9"/>
      <c r="E49" s="9"/>
      <c r="F49" s="9"/>
      <c r="G49" s="32"/>
      <c r="H49" s="32"/>
      <c r="I49" s="22"/>
      <c r="J49" s="22"/>
      <c r="K49" s="22"/>
      <c r="L49" s="22"/>
      <c r="M49" s="22"/>
      <c r="N49" s="22"/>
      <c r="O49" s="22"/>
      <c r="P49" s="22"/>
      <c r="Q49" s="22"/>
      <c r="R49" s="22"/>
      <c r="S49" s="3"/>
      <c r="U49" s="2"/>
      <c r="V49" s="3"/>
      <c r="X49" s="2"/>
    </row>
    <row r="50" spans="1:24" x14ac:dyDescent="0.25">
      <c r="A50" s="7"/>
      <c r="B50" s="19"/>
      <c r="C50" s="9"/>
      <c r="D50" s="9"/>
      <c r="E50" s="9"/>
      <c r="F50" s="9"/>
      <c r="G50" s="32"/>
      <c r="H50" s="32"/>
      <c r="I50" s="22"/>
      <c r="J50" s="22"/>
      <c r="K50" s="22"/>
      <c r="L50" s="22"/>
      <c r="M50" s="22"/>
      <c r="N50" s="22"/>
      <c r="O50" s="22"/>
      <c r="P50" s="22"/>
      <c r="Q50" s="22"/>
      <c r="R50" s="22"/>
      <c r="S50" s="3"/>
      <c r="U50" s="2"/>
      <c r="V50" s="3"/>
      <c r="X50" s="2"/>
    </row>
    <row r="51" spans="1:24" x14ac:dyDescent="0.25">
      <c r="A51" s="7"/>
      <c r="B51" s="19"/>
      <c r="C51" s="9"/>
      <c r="D51" s="9"/>
      <c r="E51" s="9"/>
      <c r="F51" s="9"/>
      <c r="G51" s="32"/>
      <c r="H51" s="32"/>
      <c r="I51" s="22"/>
      <c r="J51" s="22"/>
      <c r="K51" s="22"/>
      <c r="L51" s="22"/>
      <c r="M51" s="22"/>
      <c r="N51" s="22"/>
      <c r="O51" s="22"/>
      <c r="P51" s="22"/>
      <c r="Q51" s="22"/>
      <c r="R51" s="22"/>
      <c r="S51" s="3"/>
      <c r="U51" s="2"/>
      <c r="V51" s="3"/>
      <c r="X51" s="2"/>
    </row>
    <row r="52" spans="1:24" x14ac:dyDescent="0.25">
      <c r="A52" s="7"/>
      <c r="B52" s="19"/>
      <c r="C52" s="9"/>
      <c r="D52" s="9"/>
      <c r="E52" s="9"/>
      <c r="F52" s="9"/>
      <c r="G52" s="32"/>
      <c r="H52" s="32"/>
      <c r="I52" s="22"/>
      <c r="J52" s="22"/>
      <c r="K52" s="22"/>
      <c r="L52" s="22"/>
      <c r="M52" s="22"/>
      <c r="N52" s="22"/>
      <c r="O52" s="22"/>
      <c r="P52" s="22"/>
      <c r="Q52" s="22"/>
      <c r="R52" s="22"/>
      <c r="S52" s="3"/>
      <c r="U52" s="2"/>
      <c r="V52" s="3"/>
      <c r="X52" s="2"/>
    </row>
    <row r="53" spans="1:24" x14ac:dyDescent="0.25">
      <c r="A53" s="15"/>
      <c r="B53" s="19"/>
      <c r="C53" s="9"/>
      <c r="D53" s="9"/>
      <c r="E53" s="9"/>
      <c r="F53" s="9"/>
      <c r="G53" s="32"/>
      <c r="H53" s="32"/>
      <c r="I53" s="22"/>
      <c r="J53" s="22"/>
      <c r="K53" s="22"/>
      <c r="L53" s="22"/>
      <c r="M53" s="22"/>
      <c r="N53" s="22"/>
      <c r="O53" s="22"/>
      <c r="P53" s="22"/>
      <c r="Q53" s="22"/>
      <c r="R53" s="22"/>
      <c r="S53" s="3"/>
      <c r="U53" s="2"/>
      <c r="V53" s="3"/>
      <c r="X53" s="2"/>
    </row>
    <row r="54" spans="1:24" x14ac:dyDescent="0.25">
      <c r="A54" s="7"/>
      <c r="B54" s="19"/>
      <c r="C54" s="9"/>
      <c r="D54" s="9"/>
      <c r="E54" s="9"/>
      <c r="F54" s="9"/>
      <c r="G54" s="32"/>
      <c r="H54" s="32"/>
      <c r="I54" s="22"/>
      <c r="J54" s="22"/>
      <c r="K54" s="22"/>
      <c r="L54" s="22"/>
      <c r="M54" s="22"/>
      <c r="N54" s="22"/>
      <c r="O54" s="22"/>
      <c r="P54" s="22"/>
      <c r="Q54" s="22"/>
      <c r="R54" s="22"/>
      <c r="S54" s="3"/>
      <c r="U54" s="2"/>
      <c r="V54" s="3"/>
      <c r="X54" s="2"/>
    </row>
    <row r="55" spans="1:24" x14ac:dyDescent="0.25">
      <c r="A55" s="7"/>
      <c r="B55" s="19"/>
      <c r="C55" s="9"/>
      <c r="D55" s="9"/>
      <c r="E55" s="9"/>
      <c r="F55" s="9"/>
      <c r="G55" s="32"/>
      <c r="H55" s="32"/>
      <c r="I55" s="22"/>
      <c r="J55" s="22"/>
      <c r="K55" s="22"/>
      <c r="L55" s="22"/>
      <c r="M55" s="22"/>
      <c r="N55" s="22"/>
      <c r="O55" s="22"/>
      <c r="P55" s="22"/>
      <c r="Q55" s="22"/>
      <c r="R55" s="22"/>
      <c r="S55" s="3"/>
      <c r="U55" s="2"/>
      <c r="V55" s="3"/>
      <c r="X55" s="2"/>
    </row>
    <row r="56" spans="1:24" x14ac:dyDescent="0.25">
      <c r="A56" s="15"/>
      <c r="B56" s="19"/>
      <c r="C56" s="9"/>
      <c r="D56" s="9"/>
      <c r="E56" s="9"/>
      <c r="F56" s="9"/>
      <c r="G56" s="32"/>
      <c r="H56" s="32"/>
      <c r="I56" s="22"/>
      <c r="J56" s="22"/>
      <c r="K56" s="22"/>
      <c r="L56" s="22"/>
      <c r="M56" s="22"/>
      <c r="N56" s="22"/>
      <c r="O56" s="22"/>
      <c r="P56" s="22"/>
      <c r="Q56" s="22"/>
      <c r="R56" s="22"/>
      <c r="S56" s="3"/>
      <c r="U56" s="2"/>
      <c r="V56" s="3"/>
      <c r="X56" s="2"/>
    </row>
    <row r="57" spans="1:24" x14ac:dyDescent="0.25">
      <c r="A57" s="7"/>
      <c r="B57" s="19"/>
      <c r="C57" s="9"/>
      <c r="D57" s="9"/>
      <c r="E57" s="9"/>
      <c r="F57" s="9"/>
      <c r="G57" s="32"/>
      <c r="H57" s="32"/>
      <c r="I57" s="22"/>
      <c r="J57" s="22"/>
      <c r="K57" s="22"/>
      <c r="L57" s="22"/>
      <c r="M57" s="22"/>
      <c r="N57" s="22"/>
      <c r="O57" s="22"/>
      <c r="P57" s="22"/>
      <c r="Q57" s="22"/>
      <c r="R57" s="22"/>
      <c r="S57" s="3"/>
      <c r="U57" s="2"/>
      <c r="V57" s="3"/>
      <c r="X57" s="2"/>
    </row>
    <row r="58" spans="1:24" x14ac:dyDescent="0.25">
      <c r="A58" s="15"/>
      <c r="B58" s="19"/>
      <c r="C58" s="9"/>
      <c r="D58" s="9"/>
      <c r="E58" s="9"/>
      <c r="F58" s="9"/>
      <c r="G58" s="32"/>
      <c r="H58" s="32"/>
      <c r="I58" s="22"/>
      <c r="J58" s="22"/>
      <c r="K58" s="22"/>
      <c r="L58" s="22"/>
      <c r="M58" s="22"/>
      <c r="N58" s="22"/>
      <c r="O58" s="22"/>
      <c r="P58" s="22"/>
      <c r="Q58" s="22"/>
      <c r="R58" s="22"/>
      <c r="S58" s="3"/>
      <c r="U58" s="2"/>
      <c r="V58" s="3"/>
      <c r="X58" s="2"/>
    </row>
    <row r="59" spans="1:24" x14ac:dyDescent="0.25">
      <c r="A59" s="7"/>
      <c r="B59" s="19"/>
      <c r="C59" s="9"/>
      <c r="D59" s="9"/>
      <c r="E59" s="9"/>
      <c r="F59" s="9"/>
      <c r="G59" s="32"/>
      <c r="H59" s="32"/>
      <c r="I59" s="22"/>
      <c r="J59" s="22"/>
      <c r="K59" s="22"/>
      <c r="L59" s="22"/>
      <c r="M59" s="22"/>
      <c r="N59" s="22"/>
      <c r="O59" s="22"/>
      <c r="P59" s="22"/>
      <c r="Q59" s="22"/>
      <c r="R59" s="22"/>
      <c r="S59" s="3"/>
      <c r="U59" s="2"/>
      <c r="V59" s="3"/>
      <c r="X59" s="2"/>
    </row>
    <row r="60" spans="1:24" x14ac:dyDescent="0.25">
      <c r="A60" s="7"/>
      <c r="B60" s="19"/>
      <c r="C60" s="9"/>
      <c r="D60" s="9"/>
      <c r="E60" s="9"/>
      <c r="F60" s="9"/>
      <c r="G60" s="32"/>
      <c r="H60" s="32"/>
      <c r="I60" s="22"/>
      <c r="J60" s="22"/>
      <c r="K60" s="22"/>
      <c r="L60" s="22"/>
      <c r="M60" s="22"/>
      <c r="N60" s="22"/>
      <c r="O60" s="22"/>
      <c r="P60" s="22"/>
      <c r="Q60" s="22"/>
      <c r="R60" s="22"/>
      <c r="S60" s="3"/>
      <c r="U60" s="2"/>
      <c r="V60" s="3"/>
      <c r="X60" s="2"/>
    </row>
    <row r="61" spans="1:24" x14ac:dyDescent="0.25">
      <c r="A61" s="7"/>
      <c r="B61" s="19"/>
      <c r="C61" s="9"/>
      <c r="D61" s="9"/>
      <c r="E61" s="9"/>
      <c r="F61" s="9"/>
      <c r="G61" s="32"/>
      <c r="H61" s="32"/>
      <c r="I61" s="22"/>
      <c r="J61" s="22"/>
      <c r="K61" s="22"/>
      <c r="L61" s="22"/>
      <c r="M61" s="22"/>
      <c r="N61" s="22"/>
      <c r="O61" s="22"/>
      <c r="P61" s="22"/>
      <c r="Q61" s="22"/>
      <c r="R61" s="22"/>
      <c r="S61" s="3"/>
      <c r="U61" s="2"/>
      <c r="V61" s="3"/>
      <c r="X61" s="2"/>
    </row>
    <row r="62" spans="1:24" x14ac:dyDescent="0.25">
      <c r="A62" s="7"/>
      <c r="B62" s="19"/>
      <c r="C62" s="9"/>
      <c r="D62" s="9"/>
      <c r="E62" s="9"/>
      <c r="F62" s="9"/>
      <c r="G62" s="32"/>
      <c r="H62" s="32"/>
      <c r="I62" s="22"/>
      <c r="J62" s="22"/>
      <c r="K62" s="22"/>
      <c r="L62" s="22"/>
      <c r="M62" s="22"/>
      <c r="N62" s="22"/>
      <c r="O62" s="22"/>
      <c r="P62" s="22"/>
      <c r="Q62" s="22"/>
      <c r="R62" s="22"/>
      <c r="S62" s="3"/>
      <c r="U62" s="2"/>
      <c r="V62" s="3"/>
      <c r="X62" s="2"/>
    </row>
    <row r="63" spans="1:24" x14ac:dyDescent="0.25">
      <c r="A63" s="15"/>
      <c r="B63" s="19"/>
      <c r="C63" s="9"/>
      <c r="D63" s="9"/>
      <c r="E63" s="9"/>
      <c r="F63" s="9"/>
      <c r="G63" s="32"/>
      <c r="H63" s="32"/>
      <c r="I63" s="22"/>
      <c r="J63" s="22"/>
      <c r="K63" s="22"/>
      <c r="L63" s="22"/>
      <c r="M63" s="22"/>
      <c r="N63" s="22"/>
      <c r="O63" s="22"/>
      <c r="P63" s="22"/>
      <c r="Q63" s="22"/>
      <c r="R63" s="22"/>
      <c r="S63" s="3"/>
      <c r="U63" s="2"/>
      <c r="V63" s="3"/>
      <c r="X63" s="2"/>
    </row>
    <row r="64" spans="1:24" x14ac:dyDescent="0.25">
      <c r="A64" s="7"/>
      <c r="B64" s="19"/>
      <c r="C64" s="9"/>
      <c r="D64" s="9"/>
      <c r="E64" s="9"/>
      <c r="F64" s="9"/>
      <c r="G64" s="32"/>
      <c r="H64" s="32"/>
      <c r="I64" s="22"/>
      <c r="J64" s="22"/>
      <c r="K64" s="22"/>
      <c r="L64" s="22"/>
      <c r="M64" s="22"/>
      <c r="N64" s="22"/>
      <c r="O64" s="22"/>
      <c r="P64" s="22"/>
      <c r="Q64" s="22"/>
      <c r="R64" s="22"/>
      <c r="S64" s="3"/>
      <c r="U64" s="2"/>
      <c r="V64" s="3"/>
      <c r="X64" s="2"/>
    </row>
    <row r="65" spans="1:24" x14ac:dyDescent="0.25">
      <c r="A65" s="15"/>
      <c r="B65" s="19"/>
      <c r="C65" s="9"/>
      <c r="D65" s="9"/>
      <c r="E65" s="9"/>
      <c r="F65" s="9"/>
      <c r="G65" s="32"/>
      <c r="H65" s="32"/>
      <c r="I65" s="22"/>
      <c r="J65" s="22"/>
      <c r="K65" s="22"/>
      <c r="L65" s="22"/>
      <c r="M65" s="22"/>
      <c r="N65" s="22"/>
      <c r="O65" s="22"/>
      <c r="P65" s="22"/>
      <c r="Q65" s="22"/>
      <c r="R65" s="22"/>
      <c r="S65" s="3"/>
      <c r="U65" s="2"/>
      <c r="V65" s="3"/>
      <c r="X65" s="2"/>
    </row>
    <row r="66" spans="1:24" x14ac:dyDescent="0.25">
      <c r="A66" s="15"/>
      <c r="B66" s="19"/>
      <c r="C66" s="9"/>
      <c r="D66" s="9"/>
      <c r="E66" s="9"/>
      <c r="F66" s="9"/>
      <c r="G66" s="32"/>
      <c r="H66" s="32"/>
      <c r="I66" s="22"/>
      <c r="J66" s="22"/>
      <c r="K66" s="22"/>
      <c r="L66" s="22"/>
      <c r="M66" s="22"/>
      <c r="N66" s="22"/>
      <c r="O66" s="22"/>
      <c r="P66" s="22"/>
      <c r="Q66" s="22"/>
      <c r="R66" s="22"/>
      <c r="S66" s="3"/>
      <c r="U66" s="2"/>
      <c r="V66" s="3"/>
      <c r="X66" s="2"/>
    </row>
    <row r="67" spans="1:24" x14ac:dyDescent="0.25">
      <c r="A67" s="7"/>
      <c r="B67" s="19"/>
      <c r="C67" s="9"/>
      <c r="D67" s="9"/>
      <c r="E67" s="9"/>
      <c r="F67" s="9"/>
      <c r="G67" s="32"/>
      <c r="H67" s="32"/>
      <c r="I67" s="22"/>
      <c r="J67" s="22"/>
      <c r="K67" s="22"/>
      <c r="L67" s="22"/>
      <c r="M67" s="22"/>
      <c r="N67" s="22"/>
      <c r="O67" s="22"/>
      <c r="P67" s="22"/>
      <c r="Q67" s="22"/>
      <c r="R67" s="22"/>
      <c r="S67" s="3"/>
      <c r="U67" s="2"/>
      <c r="V67" s="3"/>
      <c r="X67" s="2"/>
    </row>
    <row r="68" spans="1:24" x14ac:dyDescent="0.25">
      <c r="A68" s="15"/>
      <c r="B68" s="19"/>
      <c r="C68" s="9"/>
      <c r="D68" s="9"/>
      <c r="E68" s="9"/>
      <c r="F68" s="9"/>
      <c r="G68" s="32"/>
      <c r="H68" s="32"/>
      <c r="I68" s="22"/>
      <c r="J68" s="22"/>
      <c r="K68" s="22"/>
      <c r="L68" s="22"/>
      <c r="M68" s="22"/>
      <c r="N68" s="22"/>
      <c r="O68" s="22"/>
      <c r="P68" s="22"/>
      <c r="Q68" s="22"/>
      <c r="R68" s="22"/>
      <c r="S68" s="3"/>
      <c r="U68" s="2"/>
      <c r="V68" s="3"/>
      <c r="X68" s="2"/>
    </row>
    <row r="69" spans="1:24" x14ac:dyDescent="0.25">
      <c r="A69" s="15"/>
      <c r="B69" s="19"/>
      <c r="C69" s="9"/>
      <c r="D69" s="9"/>
      <c r="E69" s="9"/>
      <c r="F69" s="9"/>
      <c r="G69" s="32"/>
      <c r="H69" s="32"/>
      <c r="I69" s="22"/>
      <c r="J69" s="22"/>
      <c r="K69" s="22"/>
      <c r="L69" s="22"/>
      <c r="M69" s="22"/>
      <c r="N69" s="22"/>
      <c r="O69" s="22"/>
      <c r="P69" s="22"/>
      <c r="Q69" s="22"/>
      <c r="R69" s="22"/>
      <c r="S69" s="3"/>
      <c r="U69" s="2"/>
      <c r="V69" s="3"/>
      <c r="X69" s="2"/>
    </row>
    <row r="70" spans="1:24" x14ac:dyDescent="0.25">
      <c r="A70" s="7"/>
      <c r="B70" s="19"/>
      <c r="C70" s="9"/>
      <c r="D70" s="9"/>
      <c r="E70" s="9"/>
      <c r="F70" s="9"/>
      <c r="G70" s="32"/>
      <c r="H70" s="32"/>
      <c r="I70" s="22"/>
      <c r="J70" s="22"/>
      <c r="K70" s="22"/>
      <c r="L70" s="22"/>
      <c r="M70" s="22"/>
      <c r="N70" s="22"/>
      <c r="O70" s="22"/>
      <c r="P70" s="22"/>
      <c r="Q70" s="22"/>
      <c r="R70" s="22"/>
      <c r="S70" s="3"/>
      <c r="U70" s="2"/>
      <c r="V70" s="3"/>
      <c r="X70" s="2"/>
    </row>
    <row r="71" spans="1:24" x14ac:dyDescent="0.25">
      <c r="A71" s="15"/>
      <c r="B71" s="19"/>
      <c r="C71" s="9"/>
      <c r="D71" s="9"/>
      <c r="E71" s="9"/>
      <c r="F71" s="9"/>
      <c r="G71" s="32"/>
      <c r="H71" s="32"/>
      <c r="I71" s="22"/>
      <c r="J71" s="22"/>
      <c r="K71" s="22"/>
      <c r="L71" s="22"/>
      <c r="M71" s="22"/>
      <c r="N71" s="22"/>
      <c r="O71" s="22"/>
      <c r="P71" s="22"/>
      <c r="Q71" s="22"/>
      <c r="R71" s="22"/>
      <c r="S71" s="3"/>
      <c r="U71" s="2"/>
      <c r="V71" s="3"/>
      <c r="X71" s="2"/>
    </row>
    <row r="72" spans="1:24" x14ac:dyDescent="0.25">
      <c r="A72" s="7"/>
      <c r="B72" s="19"/>
      <c r="C72" s="9"/>
      <c r="D72" s="9"/>
      <c r="E72" s="9"/>
      <c r="F72" s="9"/>
      <c r="G72" s="32"/>
      <c r="H72" s="32"/>
      <c r="I72" s="22"/>
      <c r="J72" s="22"/>
      <c r="K72" s="22"/>
      <c r="L72" s="22"/>
      <c r="M72" s="22"/>
      <c r="N72" s="22"/>
      <c r="O72" s="22"/>
      <c r="P72" s="22"/>
      <c r="Q72" s="22"/>
      <c r="R72" s="22"/>
      <c r="S72" s="3"/>
      <c r="U72" s="2"/>
      <c r="V72" s="3"/>
      <c r="X72" s="2"/>
    </row>
    <row r="73" spans="1:24" x14ac:dyDescent="0.25">
      <c r="A73" s="7"/>
      <c r="B73" s="19"/>
      <c r="C73" s="9"/>
      <c r="D73" s="9"/>
      <c r="E73" s="9"/>
      <c r="F73" s="9"/>
      <c r="G73" s="32"/>
      <c r="H73" s="32"/>
      <c r="I73" s="22"/>
      <c r="J73" s="22"/>
      <c r="K73" s="22"/>
      <c r="L73" s="22"/>
      <c r="M73" s="22"/>
      <c r="N73" s="22"/>
      <c r="O73" s="22"/>
      <c r="P73" s="22"/>
      <c r="Q73" s="22"/>
      <c r="R73" s="22"/>
      <c r="S73" s="3"/>
      <c r="U73" s="2"/>
      <c r="V73" s="3"/>
      <c r="X73" s="2"/>
    </row>
    <row r="74" spans="1:24" x14ac:dyDescent="0.25">
      <c r="A74" s="7"/>
      <c r="B74" s="19"/>
      <c r="C74" s="9"/>
      <c r="D74" s="9"/>
      <c r="E74" s="9"/>
      <c r="F74" s="9"/>
      <c r="G74" s="32"/>
      <c r="H74" s="32"/>
      <c r="I74" s="22"/>
      <c r="J74" s="22"/>
      <c r="K74" s="22"/>
      <c r="L74" s="22"/>
      <c r="M74" s="22"/>
      <c r="N74" s="22"/>
      <c r="O74" s="22"/>
      <c r="P74" s="22"/>
      <c r="Q74" s="22"/>
      <c r="R74" s="22"/>
      <c r="S74" s="3"/>
      <c r="U74" s="2"/>
      <c r="V74" s="3"/>
      <c r="X74" s="2"/>
    </row>
    <row r="75" spans="1:24" x14ac:dyDescent="0.25">
      <c r="A75" s="7"/>
      <c r="B75" s="7"/>
      <c r="C75" s="9"/>
      <c r="D75" s="9"/>
      <c r="E75" s="9"/>
      <c r="F75" s="9"/>
      <c r="G75" s="32"/>
      <c r="H75" s="32"/>
      <c r="I75" s="3"/>
      <c r="J75" s="22"/>
      <c r="K75" s="22"/>
      <c r="L75" s="22"/>
      <c r="M75" s="22"/>
      <c r="N75" s="22"/>
      <c r="O75" s="22"/>
      <c r="P75" s="22"/>
      <c r="Q75" s="22"/>
      <c r="R75" s="22"/>
      <c r="S75" s="3"/>
      <c r="U75" s="2"/>
      <c r="V75" s="3"/>
      <c r="X75" s="2"/>
    </row>
    <row r="76" spans="1:24" x14ac:dyDescent="0.25">
      <c r="A76" s="7"/>
      <c r="B76" s="7"/>
      <c r="C76" s="9"/>
      <c r="D76" s="9"/>
      <c r="E76" s="9"/>
      <c r="F76" s="9"/>
      <c r="G76" s="32"/>
      <c r="H76" s="32"/>
      <c r="I76" s="3"/>
      <c r="J76" s="3"/>
      <c r="K76" s="3"/>
      <c r="L76" s="3"/>
      <c r="M76" s="3"/>
      <c r="N76" s="3"/>
      <c r="O76" s="3"/>
      <c r="P76" s="3"/>
      <c r="Q76" s="3"/>
      <c r="R76" s="3"/>
      <c r="S76" s="3"/>
      <c r="U76" s="2"/>
      <c r="V76" s="3"/>
      <c r="X76" s="2"/>
    </row>
    <row r="77" spans="1:24" x14ac:dyDescent="0.25">
      <c r="A77" s="15"/>
      <c r="B77" s="19"/>
      <c r="C77" s="9"/>
      <c r="D77" s="9"/>
      <c r="E77" s="9"/>
      <c r="F77" s="9"/>
      <c r="G77" s="32"/>
      <c r="H77" s="32"/>
      <c r="I77" s="22"/>
      <c r="J77" s="3"/>
      <c r="K77" s="3"/>
      <c r="L77" s="3"/>
      <c r="M77" s="3"/>
      <c r="N77" s="3"/>
      <c r="O77" s="3"/>
      <c r="P77" s="3"/>
      <c r="Q77" s="3"/>
      <c r="R77" s="3"/>
      <c r="S77" s="3"/>
      <c r="U77" s="2"/>
      <c r="V77" s="3"/>
      <c r="X77" s="2"/>
    </row>
    <row r="78" spans="1:24" x14ac:dyDescent="0.25">
      <c r="A78" s="7"/>
      <c r="B78" s="19"/>
      <c r="C78" s="9"/>
      <c r="D78" s="9"/>
      <c r="E78" s="9"/>
      <c r="F78" s="9"/>
      <c r="G78" s="32"/>
      <c r="H78" s="32"/>
      <c r="I78" s="22"/>
      <c r="J78" s="22"/>
      <c r="K78" s="22"/>
      <c r="L78" s="22"/>
      <c r="M78" s="22"/>
      <c r="N78" s="22"/>
      <c r="O78" s="22"/>
      <c r="P78" s="22"/>
      <c r="Q78" s="22"/>
      <c r="R78" s="22"/>
      <c r="S78" s="3"/>
      <c r="U78" s="2"/>
      <c r="V78" s="3"/>
      <c r="X78" s="2"/>
    </row>
    <row r="79" spans="1:24" x14ac:dyDescent="0.25">
      <c r="A79" s="15"/>
      <c r="B79" s="19"/>
      <c r="C79" s="9"/>
      <c r="D79" s="9"/>
      <c r="E79" s="9"/>
      <c r="F79" s="9"/>
      <c r="G79" s="32"/>
      <c r="H79" s="32"/>
      <c r="I79" s="22"/>
      <c r="J79" s="22"/>
      <c r="K79" s="22"/>
      <c r="L79" s="22"/>
      <c r="M79" s="22"/>
      <c r="N79" s="22"/>
      <c r="O79" s="22"/>
      <c r="P79" s="22"/>
      <c r="Q79" s="22"/>
      <c r="R79" s="22"/>
      <c r="S79" s="3"/>
      <c r="U79" s="2"/>
      <c r="V79" s="3"/>
      <c r="X79" s="2"/>
    </row>
    <row r="80" spans="1:24" x14ac:dyDescent="0.25">
      <c r="A80" s="15"/>
      <c r="B80" s="19"/>
      <c r="C80" s="9"/>
      <c r="D80" s="9"/>
      <c r="E80" s="9"/>
      <c r="F80" s="9"/>
      <c r="G80" s="32"/>
      <c r="H80" s="32"/>
      <c r="I80" s="22"/>
      <c r="J80" s="22"/>
      <c r="K80" s="22"/>
      <c r="L80" s="22"/>
      <c r="M80" s="22"/>
      <c r="N80" s="22"/>
      <c r="O80" s="22"/>
      <c r="P80" s="22"/>
      <c r="Q80" s="22"/>
      <c r="R80" s="22"/>
      <c r="S80" s="3"/>
      <c r="U80" s="2"/>
      <c r="V80" s="3"/>
      <c r="X80" s="2"/>
    </row>
    <row r="81" spans="1:24" x14ac:dyDescent="0.25">
      <c r="A81" s="15"/>
      <c r="B81" s="19"/>
      <c r="C81" s="9"/>
      <c r="D81" s="9"/>
      <c r="E81" s="9"/>
      <c r="F81" s="9"/>
      <c r="G81" s="32"/>
      <c r="H81" s="32"/>
      <c r="I81" s="22"/>
      <c r="J81" s="22"/>
      <c r="K81" s="22"/>
      <c r="L81" s="22"/>
      <c r="M81" s="22"/>
      <c r="N81" s="22"/>
      <c r="O81" s="22"/>
      <c r="P81" s="22"/>
      <c r="Q81" s="22"/>
      <c r="R81" s="22"/>
      <c r="S81" s="3"/>
      <c r="U81" s="2"/>
      <c r="V81" s="3"/>
      <c r="X81" s="2"/>
    </row>
    <row r="82" spans="1:24" x14ac:dyDescent="0.25">
      <c r="A82" s="15"/>
      <c r="B82" s="19"/>
      <c r="C82" s="9"/>
      <c r="D82" s="9"/>
      <c r="E82" s="9"/>
      <c r="F82" s="9"/>
      <c r="G82" s="32"/>
      <c r="H82" s="32"/>
      <c r="I82" s="22"/>
      <c r="J82" s="22"/>
      <c r="K82" s="22"/>
      <c r="L82" s="22"/>
      <c r="M82" s="22"/>
      <c r="N82" s="22"/>
      <c r="O82" s="22"/>
      <c r="P82" s="22"/>
      <c r="Q82" s="22"/>
      <c r="R82" s="22"/>
      <c r="S82" s="3"/>
      <c r="U82" s="2"/>
      <c r="V82" s="3"/>
      <c r="X82" s="2"/>
    </row>
    <row r="83" spans="1:24" x14ac:dyDescent="0.25">
      <c r="A83" s="15"/>
      <c r="B83" s="19"/>
      <c r="C83" s="9"/>
      <c r="D83" s="9"/>
      <c r="E83" s="9"/>
      <c r="F83" s="9"/>
      <c r="G83" s="32"/>
      <c r="H83" s="32"/>
      <c r="I83" s="22"/>
      <c r="J83" s="22"/>
      <c r="K83" s="22"/>
      <c r="L83" s="22"/>
      <c r="M83" s="22"/>
      <c r="N83" s="22"/>
      <c r="O83" s="22"/>
      <c r="P83" s="22"/>
      <c r="Q83" s="22"/>
      <c r="R83" s="22"/>
      <c r="S83" s="3"/>
      <c r="U83" s="2"/>
      <c r="V83" s="3"/>
      <c r="X83" s="2"/>
    </row>
    <row r="84" spans="1:24" x14ac:dyDescent="0.25">
      <c r="A84" s="7"/>
      <c r="B84" s="7"/>
      <c r="C84" s="9"/>
      <c r="D84" s="9"/>
      <c r="E84" s="9"/>
      <c r="F84" s="9"/>
      <c r="G84" s="32"/>
      <c r="H84" s="32"/>
      <c r="I84" s="3"/>
      <c r="J84" s="22"/>
      <c r="K84" s="22"/>
      <c r="L84" s="22"/>
      <c r="M84" s="22"/>
      <c r="N84" s="22"/>
      <c r="O84" s="22"/>
      <c r="P84" s="22"/>
      <c r="Q84" s="22"/>
      <c r="R84" s="22"/>
      <c r="S84" s="3"/>
      <c r="U84" s="2"/>
      <c r="V84" s="3"/>
      <c r="X84" s="2"/>
    </row>
    <row r="85" spans="1:24" x14ac:dyDescent="0.25">
      <c r="A85" s="7"/>
      <c r="B85" s="7"/>
      <c r="C85" s="9"/>
      <c r="D85" s="9"/>
      <c r="E85" s="9"/>
      <c r="F85" s="9"/>
      <c r="G85" s="32"/>
      <c r="H85" s="32"/>
      <c r="I85" s="3"/>
      <c r="J85" s="3"/>
      <c r="K85" s="3"/>
      <c r="L85" s="3"/>
      <c r="M85" s="3"/>
      <c r="N85" s="3"/>
      <c r="O85" s="3"/>
      <c r="P85" s="3"/>
      <c r="Q85" s="3"/>
      <c r="R85" s="3"/>
      <c r="S85" s="3"/>
      <c r="U85" s="2"/>
      <c r="V85" s="3"/>
      <c r="X85" s="2"/>
    </row>
    <row r="86" spans="1:24" x14ac:dyDescent="0.25">
      <c r="A86" s="7"/>
      <c r="B86" s="7"/>
      <c r="C86" s="9"/>
      <c r="D86" s="9"/>
      <c r="E86" s="9"/>
      <c r="F86" s="9"/>
      <c r="G86" s="32"/>
      <c r="H86" s="32"/>
      <c r="I86" s="3"/>
      <c r="J86" s="3"/>
      <c r="K86" s="3"/>
      <c r="L86" s="3"/>
      <c r="M86" s="3"/>
      <c r="N86" s="3"/>
      <c r="O86" s="3"/>
      <c r="P86" s="3"/>
      <c r="Q86" s="3"/>
      <c r="R86" s="3"/>
      <c r="S86" s="3"/>
      <c r="U86" s="2"/>
      <c r="V86" s="3"/>
      <c r="X86" s="2"/>
    </row>
    <row r="87" spans="1:24" x14ac:dyDescent="0.25">
      <c r="A87" s="7"/>
      <c r="B87" s="7"/>
      <c r="C87" s="9"/>
      <c r="D87" s="9"/>
      <c r="E87" s="9"/>
      <c r="F87" s="9"/>
      <c r="G87" s="32"/>
      <c r="H87" s="32"/>
      <c r="I87" s="3"/>
      <c r="J87" s="3"/>
      <c r="K87" s="3"/>
      <c r="L87" s="3"/>
      <c r="M87" s="3"/>
      <c r="N87" s="3"/>
      <c r="O87" s="3"/>
      <c r="P87" s="3"/>
      <c r="Q87" s="3"/>
      <c r="R87" s="3"/>
      <c r="S87" s="3"/>
      <c r="U87" s="2"/>
      <c r="V87" s="3"/>
      <c r="X87" s="2"/>
    </row>
    <row r="88" spans="1:24" x14ac:dyDescent="0.25">
      <c r="A88" s="7"/>
      <c r="B88" s="7"/>
      <c r="C88" s="9"/>
      <c r="D88" s="9"/>
      <c r="E88" s="9"/>
      <c r="F88" s="9"/>
      <c r="G88" s="32"/>
      <c r="H88" s="32"/>
      <c r="I88" s="3"/>
      <c r="J88" s="3"/>
      <c r="K88" s="3"/>
      <c r="L88" s="3"/>
      <c r="M88" s="3"/>
      <c r="N88" s="3"/>
      <c r="O88" s="3"/>
      <c r="P88" s="3"/>
      <c r="Q88" s="3"/>
      <c r="R88" s="3"/>
      <c r="S88" s="3"/>
      <c r="U88" s="2"/>
      <c r="V88" s="3"/>
      <c r="X88" s="2"/>
    </row>
    <row r="89" spans="1:24" x14ac:dyDescent="0.25">
      <c r="A89" s="7"/>
      <c r="B89" s="7"/>
      <c r="C89" s="9"/>
      <c r="D89" s="9"/>
      <c r="E89" s="9"/>
      <c r="F89" s="9"/>
      <c r="G89" s="32"/>
      <c r="H89" s="32"/>
      <c r="I89" s="3"/>
      <c r="J89" s="3"/>
      <c r="K89" s="3"/>
      <c r="L89" s="3"/>
      <c r="M89" s="3"/>
      <c r="N89" s="3"/>
      <c r="O89" s="3"/>
      <c r="P89" s="3"/>
      <c r="Q89" s="3"/>
      <c r="R89" s="3"/>
      <c r="S89" s="3"/>
      <c r="U89" s="2"/>
      <c r="V89" s="3"/>
      <c r="X89" s="2"/>
    </row>
    <row r="90" spans="1:24" x14ac:dyDescent="0.25">
      <c r="A90" s="7"/>
      <c r="B90" s="7"/>
      <c r="C90" s="9"/>
      <c r="D90" s="9"/>
      <c r="E90" s="9"/>
      <c r="F90" s="9"/>
      <c r="G90" s="32"/>
      <c r="H90" s="32"/>
      <c r="I90" s="3"/>
      <c r="J90" s="3"/>
      <c r="K90" s="3"/>
      <c r="L90" s="3"/>
      <c r="M90" s="3"/>
      <c r="N90" s="3"/>
      <c r="O90" s="3"/>
      <c r="P90" s="3"/>
      <c r="Q90" s="3"/>
      <c r="R90" s="3"/>
      <c r="S90" s="3"/>
      <c r="U90" s="2"/>
      <c r="V90" s="3"/>
      <c r="X90" s="2"/>
    </row>
    <row r="91" spans="1:24" x14ac:dyDescent="0.25">
      <c r="A91" s="7"/>
      <c r="B91" s="7"/>
      <c r="C91" s="9"/>
      <c r="D91" s="9"/>
      <c r="E91" s="9"/>
      <c r="F91" s="9"/>
      <c r="G91" s="32"/>
      <c r="H91" s="32"/>
      <c r="I91" s="3"/>
      <c r="J91" s="3"/>
      <c r="K91" s="3"/>
      <c r="L91" s="3"/>
      <c r="M91" s="3"/>
      <c r="N91" s="3"/>
      <c r="O91" s="3"/>
      <c r="P91" s="3"/>
      <c r="Q91" s="3"/>
      <c r="R91" s="3"/>
      <c r="S91" s="3"/>
      <c r="U91" s="2"/>
      <c r="V91" s="3"/>
      <c r="X91" s="2"/>
    </row>
    <row r="92" spans="1:24" x14ac:dyDescent="0.25">
      <c r="A92" s="7"/>
      <c r="B92" s="7"/>
      <c r="C92" s="9"/>
      <c r="D92" s="9"/>
      <c r="E92" s="9"/>
      <c r="F92" s="9"/>
      <c r="G92" s="32"/>
      <c r="H92" s="32"/>
      <c r="I92" s="3"/>
      <c r="J92" s="3"/>
      <c r="K92" s="3"/>
      <c r="L92" s="3"/>
      <c r="M92" s="3"/>
      <c r="N92" s="3"/>
      <c r="O92" s="3"/>
      <c r="P92" s="3"/>
      <c r="Q92" s="3"/>
      <c r="R92" s="3"/>
      <c r="S92" s="3"/>
      <c r="U92" s="2"/>
      <c r="V92" s="3"/>
      <c r="X92" s="2"/>
    </row>
    <row r="93" spans="1:24" x14ac:dyDescent="0.25">
      <c r="A93" s="7"/>
      <c r="B93" s="7"/>
      <c r="C93" s="9"/>
      <c r="D93" s="9"/>
      <c r="E93" s="9"/>
      <c r="F93" s="9"/>
      <c r="G93" s="32"/>
      <c r="H93" s="32"/>
      <c r="I93" s="3"/>
      <c r="J93" s="3"/>
      <c r="K93" s="3"/>
      <c r="L93" s="3"/>
      <c r="M93" s="3"/>
      <c r="N93" s="3"/>
      <c r="O93" s="3"/>
      <c r="P93" s="3"/>
      <c r="Q93" s="3"/>
      <c r="R93" s="3"/>
      <c r="S93" s="3"/>
      <c r="U93" s="2"/>
      <c r="V93" s="3"/>
      <c r="X93" s="2"/>
    </row>
    <row r="94" spans="1:24" x14ac:dyDescent="0.25">
      <c r="A94" s="7"/>
      <c r="B94" s="7"/>
      <c r="C94" s="9"/>
      <c r="D94" s="9"/>
      <c r="E94" s="9"/>
      <c r="F94" s="9"/>
      <c r="G94" s="32"/>
      <c r="H94" s="32"/>
      <c r="I94" s="3"/>
      <c r="J94" s="3"/>
      <c r="K94" s="3"/>
      <c r="L94" s="3"/>
      <c r="M94" s="3"/>
      <c r="N94" s="3"/>
      <c r="O94" s="3"/>
      <c r="P94" s="3"/>
      <c r="Q94" s="3"/>
      <c r="R94" s="3"/>
      <c r="S94" s="3"/>
      <c r="U94" s="2"/>
      <c r="V94" s="3"/>
      <c r="X94" s="2"/>
    </row>
    <row r="95" spans="1:24" x14ac:dyDescent="0.25">
      <c r="A95" s="7"/>
      <c r="B95" s="7"/>
      <c r="C95" s="9"/>
      <c r="D95" s="9"/>
      <c r="E95" s="9"/>
      <c r="F95" s="9"/>
      <c r="G95" s="32"/>
      <c r="H95" s="32"/>
      <c r="I95" s="3"/>
      <c r="J95" s="3"/>
      <c r="K95" s="3"/>
      <c r="L95" s="3"/>
      <c r="M95" s="3"/>
      <c r="N95" s="3"/>
      <c r="O95" s="3"/>
      <c r="P95" s="3"/>
      <c r="Q95" s="3"/>
      <c r="R95" s="3"/>
      <c r="S95" s="3"/>
      <c r="U95" s="2"/>
      <c r="V95" s="3"/>
      <c r="X95" s="2"/>
    </row>
    <row r="96" spans="1:24" x14ac:dyDescent="0.25">
      <c r="A96" s="7"/>
      <c r="B96" s="7"/>
      <c r="C96" s="9"/>
      <c r="D96" s="9"/>
      <c r="E96" s="9"/>
      <c r="F96" s="9"/>
      <c r="G96" s="32"/>
      <c r="H96" s="32"/>
      <c r="I96" s="3"/>
      <c r="J96" s="3"/>
      <c r="K96" s="3"/>
      <c r="L96" s="3"/>
      <c r="M96" s="3"/>
      <c r="N96" s="3"/>
      <c r="O96" s="3"/>
      <c r="P96" s="3"/>
      <c r="Q96" s="3"/>
      <c r="R96" s="3"/>
      <c r="S96" s="3"/>
      <c r="U96" s="2"/>
      <c r="V96" s="3"/>
      <c r="X96" s="2"/>
    </row>
    <row r="97" spans="1:24" x14ac:dyDescent="0.25">
      <c r="A97" s="7"/>
      <c r="B97" s="7"/>
      <c r="C97" s="9"/>
      <c r="D97" s="9"/>
      <c r="E97" s="9"/>
      <c r="F97" s="9"/>
      <c r="G97" s="32"/>
      <c r="H97" s="32"/>
      <c r="I97" s="3"/>
      <c r="J97" s="3"/>
      <c r="K97" s="3"/>
      <c r="L97" s="3"/>
      <c r="M97" s="3"/>
      <c r="N97" s="3"/>
      <c r="O97" s="3"/>
      <c r="P97" s="3"/>
      <c r="Q97" s="3"/>
      <c r="R97" s="3"/>
      <c r="S97" s="3"/>
      <c r="U97" s="2"/>
      <c r="V97" s="3"/>
      <c r="X97" s="2"/>
    </row>
    <row r="98" spans="1:24" x14ac:dyDescent="0.25">
      <c r="A98" s="7"/>
      <c r="B98" s="7"/>
      <c r="C98" s="9"/>
      <c r="D98" s="9"/>
      <c r="E98" s="9"/>
      <c r="F98" s="9"/>
      <c r="G98" s="32"/>
      <c r="H98" s="32"/>
      <c r="I98" s="3"/>
      <c r="J98" s="3"/>
      <c r="K98" s="3"/>
      <c r="L98" s="3"/>
      <c r="M98" s="3"/>
      <c r="N98" s="3"/>
      <c r="O98" s="3"/>
      <c r="P98" s="3"/>
      <c r="Q98" s="3"/>
      <c r="R98" s="3"/>
      <c r="S98" s="3"/>
      <c r="U98" s="2"/>
      <c r="V98" s="3"/>
      <c r="X98" s="2"/>
    </row>
    <row r="99" spans="1:24" x14ac:dyDescent="0.25">
      <c r="A99" s="7"/>
      <c r="B99" s="7"/>
      <c r="C99" s="9"/>
      <c r="D99" s="9"/>
      <c r="E99" s="9"/>
      <c r="F99" s="9"/>
      <c r="G99" s="32"/>
      <c r="H99" s="32"/>
      <c r="I99" s="3"/>
      <c r="J99" s="3"/>
      <c r="K99" s="3"/>
      <c r="L99" s="3"/>
      <c r="M99" s="3"/>
      <c r="N99" s="3"/>
      <c r="O99" s="3"/>
      <c r="P99" s="3"/>
      <c r="Q99" s="3"/>
      <c r="R99" s="3"/>
      <c r="S99" s="3"/>
      <c r="U99" s="2"/>
      <c r="V99" s="3"/>
      <c r="X99" s="2"/>
    </row>
    <row r="100" spans="1:24" x14ac:dyDescent="0.25">
      <c r="A100" s="7"/>
      <c r="B100" s="7"/>
      <c r="C100" s="9"/>
      <c r="D100" s="9"/>
      <c r="E100" s="9"/>
      <c r="F100" s="9"/>
      <c r="G100" s="32"/>
      <c r="H100" s="32"/>
      <c r="I100" s="3"/>
      <c r="J100" s="3"/>
      <c r="K100" s="3"/>
      <c r="L100" s="3"/>
      <c r="M100" s="3"/>
      <c r="N100" s="3"/>
      <c r="O100" s="3"/>
      <c r="P100" s="3"/>
      <c r="Q100" s="3"/>
      <c r="R100" s="3"/>
      <c r="S100" s="3"/>
      <c r="U100" s="2"/>
      <c r="V100" s="3"/>
      <c r="X100" s="2"/>
    </row>
    <row r="101" spans="1:24" x14ac:dyDescent="0.25">
      <c r="A101" s="7"/>
      <c r="B101" s="7"/>
      <c r="C101" s="9"/>
      <c r="D101" s="9"/>
      <c r="E101" s="9"/>
      <c r="F101" s="9"/>
      <c r="G101" s="32"/>
      <c r="H101" s="32"/>
      <c r="I101" s="3"/>
      <c r="J101" s="3"/>
      <c r="K101" s="3"/>
      <c r="L101" s="3"/>
      <c r="M101" s="3"/>
      <c r="N101" s="3"/>
      <c r="O101" s="3"/>
      <c r="P101" s="3"/>
      <c r="Q101" s="3"/>
      <c r="R101" s="3"/>
      <c r="S101" s="3"/>
      <c r="U101" s="2"/>
      <c r="V101" s="3"/>
      <c r="X101" s="2"/>
    </row>
    <row r="102" spans="1:24" x14ac:dyDescent="0.25">
      <c r="A102" s="7"/>
      <c r="B102" s="7"/>
      <c r="C102" s="9"/>
      <c r="D102" s="9"/>
      <c r="E102" s="9"/>
      <c r="F102" s="9"/>
      <c r="G102" s="32"/>
      <c r="H102" s="32"/>
      <c r="I102" s="3"/>
      <c r="J102" s="3"/>
      <c r="K102" s="3"/>
      <c r="L102" s="3"/>
      <c r="M102" s="3"/>
      <c r="N102" s="3"/>
      <c r="O102" s="3"/>
      <c r="P102" s="3"/>
      <c r="Q102" s="3"/>
      <c r="R102" s="3"/>
      <c r="S102" s="3"/>
      <c r="U102" s="2"/>
      <c r="V102" s="3"/>
      <c r="X102" s="2"/>
    </row>
    <row r="103" spans="1:24" x14ac:dyDescent="0.25">
      <c r="A103" s="7"/>
      <c r="B103" s="7"/>
      <c r="C103" s="9"/>
      <c r="D103" s="9"/>
      <c r="E103" s="9"/>
      <c r="F103" s="9"/>
      <c r="G103" s="32"/>
      <c r="H103" s="32"/>
      <c r="I103" s="3"/>
      <c r="J103" s="3"/>
      <c r="K103" s="3"/>
      <c r="L103" s="3"/>
      <c r="M103" s="3"/>
      <c r="N103" s="3"/>
      <c r="O103" s="3"/>
      <c r="P103" s="3"/>
      <c r="Q103" s="3"/>
      <c r="R103" s="3"/>
      <c r="S103" s="3"/>
      <c r="U103" s="2"/>
      <c r="V103" s="3"/>
      <c r="X103" s="2"/>
    </row>
    <row r="104" spans="1:24" x14ac:dyDescent="0.25">
      <c r="A104" s="7"/>
      <c r="B104" s="7"/>
      <c r="C104" s="9"/>
      <c r="D104" s="9"/>
      <c r="E104" s="9"/>
      <c r="F104" s="9"/>
      <c r="G104" s="32"/>
      <c r="H104" s="32"/>
      <c r="I104" s="3"/>
      <c r="J104" s="3"/>
      <c r="K104" s="3"/>
      <c r="L104" s="3"/>
      <c r="M104" s="3"/>
      <c r="N104" s="3"/>
      <c r="O104" s="3"/>
      <c r="P104" s="3"/>
      <c r="Q104" s="3"/>
      <c r="R104" s="3"/>
      <c r="S104" s="3"/>
      <c r="U104" s="2"/>
      <c r="V104" s="3"/>
      <c r="X104" s="2"/>
    </row>
    <row r="105" spans="1:24" x14ac:dyDescent="0.25">
      <c r="A105" s="7"/>
      <c r="B105" s="7"/>
      <c r="C105" s="9"/>
      <c r="D105" s="9"/>
      <c r="E105" s="9"/>
      <c r="F105" s="9"/>
      <c r="G105" s="32"/>
      <c r="H105" s="32"/>
      <c r="I105" s="3"/>
      <c r="J105" s="3"/>
      <c r="K105" s="3"/>
      <c r="L105" s="3"/>
      <c r="M105" s="3"/>
      <c r="N105" s="3"/>
      <c r="O105" s="3"/>
      <c r="P105" s="3"/>
      <c r="Q105" s="3"/>
      <c r="R105" s="3"/>
      <c r="S105" s="3"/>
      <c r="U105" s="2"/>
      <c r="V105" s="3"/>
      <c r="X105" s="2"/>
    </row>
    <row r="106" spans="1:24" x14ac:dyDescent="0.25">
      <c r="A106" s="7"/>
      <c r="B106" s="7"/>
      <c r="C106" s="9"/>
      <c r="D106" s="9"/>
      <c r="E106" s="9"/>
      <c r="F106" s="9"/>
      <c r="G106" s="32"/>
      <c r="H106" s="32"/>
      <c r="I106" s="3"/>
      <c r="J106" s="3"/>
      <c r="K106" s="3"/>
      <c r="L106" s="3"/>
      <c r="M106" s="3"/>
      <c r="N106" s="3"/>
      <c r="O106" s="3"/>
      <c r="P106" s="3"/>
      <c r="Q106" s="3"/>
      <c r="R106" s="3"/>
      <c r="S106" s="3"/>
      <c r="U106" s="2"/>
      <c r="V106" s="3"/>
      <c r="X106" s="2"/>
    </row>
    <row r="107" spans="1:24" x14ac:dyDescent="0.25">
      <c r="A107" s="7"/>
      <c r="B107" s="7"/>
      <c r="C107" s="9"/>
      <c r="D107" s="9"/>
      <c r="E107" s="9"/>
      <c r="F107" s="9"/>
      <c r="G107" s="32"/>
      <c r="H107" s="32"/>
      <c r="I107" s="3"/>
      <c r="J107" s="3"/>
      <c r="K107" s="3"/>
      <c r="L107" s="3"/>
      <c r="M107" s="3"/>
      <c r="N107" s="3"/>
      <c r="O107" s="3"/>
      <c r="P107" s="3"/>
      <c r="Q107" s="3"/>
      <c r="R107" s="3"/>
      <c r="S107" s="3"/>
      <c r="U107" s="2"/>
      <c r="V107" s="3"/>
      <c r="X107" s="2"/>
    </row>
    <row r="108" spans="1:24" x14ac:dyDescent="0.25">
      <c r="A108" s="7"/>
      <c r="B108" s="7"/>
      <c r="C108" s="9"/>
      <c r="D108" s="9"/>
      <c r="E108" s="9"/>
      <c r="F108" s="9"/>
      <c r="G108" s="32"/>
      <c r="H108" s="32"/>
      <c r="I108" s="3"/>
      <c r="J108" s="3"/>
      <c r="K108" s="3"/>
      <c r="L108" s="3"/>
      <c r="M108" s="3"/>
      <c r="N108" s="3"/>
      <c r="O108" s="3"/>
      <c r="P108" s="3"/>
      <c r="Q108" s="3"/>
      <c r="R108" s="3"/>
      <c r="S108" s="3"/>
      <c r="U108" s="2"/>
      <c r="V108" s="3"/>
      <c r="X108" s="2"/>
    </row>
    <row r="109" spans="1:24" x14ac:dyDescent="0.25">
      <c r="A109" s="7"/>
      <c r="B109" s="7"/>
      <c r="C109" s="9"/>
      <c r="D109" s="9"/>
      <c r="E109" s="9"/>
      <c r="F109" s="9"/>
      <c r="G109" s="32"/>
      <c r="H109" s="32"/>
      <c r="I109" s="3"/>
      <c r="J109" s="3"/>
      <c r="K109" s="3"/>
      <c r="L109" s="3"/>
      <c r="M109" s="3"/>
      <c r="N109" s="3"/>
      <c r="O109" s="3"/>
      <c r="P109" s="3"/>
      <c r="Q109" s="3"/>
      <c r="R109" s="3"/>
      <c r="S109" s="3"/>
      <c r="U109" s="2"/>
      <c r="V109" s="3"/>
      <c r="X109" s="2"/>
    </row>
    <row r="110" spans="1:24" x14ac:dyDescent="0.25">
      <c r="A110" s="7"/>
      <c r="B110" s="7"/>
      <c r="C110" s="9"/>
      <c r="D110" s="9"/>
      <c r="E110" s="9"/>
      <c r="F110" s="9"/>
      <c r="G110" s="32"/>
      <c r="H110" s="32"/>
      <c r="I110" s="3"/>
      <c r="J110" s="3"/>
      <c r="K110" s="3"/>
      <c r="L110" s="3"/>
      <c r="M110" s="3"/>
      <c r="N110" s="3"/>
      <c r="O110" s="3"/>
      <c r="P110" s="3"/>
      <c r="Q110" s="3"/>
      <c r="R110" s="3"/>
      <c r="S110" s="3"/>
      <c r="U110" s="2"/>
      <c r="V110" s="3"/>
      <c r="X110" s="2"/>
    </row>
    <row r="111" spans="1:24" x14ac:dyDescent="0.25">
      <c r="A111" s="7"/>
      <c r="B111" s="7"/>
      <c r="C111" s="9"/>
      <c r="D111" s="9"/>
      <c r="E111" s="9"/>
      <c r="F111" s="9"/>
      <c r="G111" s="32"/>
      <c r="H111" s="32"/>
      <c r="I111" s="3"/>
      <c r="J111" s="3"/>
      <c r="K111" s="3"/>
      <c r="L111" s="3"/>
      <c r="M111" s="3"/>
      <c r="N111" s="3"/>
      <c r="O111" s="3"/>
      <c r="P111" s="3"/>
      <c r="Q111" s="3"/>
      <c r="R111" s="3"/>
      <c r="S111" s="3"/>
      <c r="U111" s="2"/>
      <c r="V111" s="3"/>
      <c r="X111" s="2"/>
    </row>
    <row r="112" spans="1:24" x14ac:dyDescent="0.25">
      <c r="A112" s="7"/>
      <c r="B112" s="7"/>
      <c r="C112" s="9"/>
      <c r="D112" s="9"/>
      <c r="E112" s="9"/>
      <c r="F112" s="9"/>
      <c r="G112" s="32"/>
      <c r="H112" s="32"/>
      <c r="I112" s="3"/>
      <c r="J112" s="3"/>
      <c r="K112" s="3"/>
      <c r="L112" s="3"/>
      <c r="M112" s="3"/>
      <c r="N112" s="3"/>
      <c r="O112" s="3"/>
      <c r="P112" s="3"/>
      <c r="Q112" s="3"/>
      <c r="R112" s="3"/>
      <c r="S112" s="3"/>
      <c r="U112" s="2"/>
      <c r="V112" s="3"/>
      <c r="X112" s="2"/>
    </row>
    <row r="113" spans="1:24" x14ac:dyDescent="0.25">
      <c r="A113" s="7"/>
      <c r="B113" s="7"/>
      <c r="C113" s="9"/>
      <c r="D113" s="9"/>
      <c r="E113" s="9"/>
      <c r="F113" s="9"/>
      <c r="G113" s="32"/>
      <c r="H113" s="32"/>
      <c r="I113" s="3"/>
      <c r="J113" s="3"/>
      <c r="K113" s="3"/>
      <c r="L113" s="3"/>
      <c r="M113" s="3"/>
      <c r="N113" s="3"/>
      <c r="O113" s="3"/>
      <c r="P113" s="3"/>
      <c r="Q113" s="3"/>
      <c r="R113" s="3"/>
      <c r="S113" s="3"/>
      <c r="U113" s="2"/>
      <c r="V113" s="3"/>
      <c r="X113" s="2"/>
    </row>
    <row r="114" spans="1:24" x14ac:dyDescent="0.25">
      <c r="A114" s="7"/>
      <c r="B114" s="7"/>
      <c r="C114" s="9"/>
      <c r="D114" s="9"/>
      <c r="E114" s="9"/>
      <c r="F114" s="9"/>
      <c r="G114" s="32"/>
      <c r="H114" s="32"/>
      <c r="I114" s="3"/>
      <c r="J114" s="3"/>
      <c r="K114" s="3"/>
      <c r="L114" s="3"/>
      <c r="M114" s="3"/>
      <c r="N114" s="3"/>
      <c r="O114" s="3"/>
      <c r="P114" s="3"/>
      <c r="Q114" s="3"/>
      <c r="R114" s="3"/>
      <c r="S114" s="3"/>
      <c r="U114" s="2"/>
      <c r="V114" s="3"/>
      <c r="X114" s="2"/>
    </row>
    <row r="115" spans="1:24" x14ac:dyDescent="0.25">
      <c r="A115" s="7"/>
      <c r="B115" s="7"/>
      <c r="C115" s="9"/>
      <c r="D115" s="9"/>
      <c r="E115" s="9"/>
      <c r="F115" s="9"/>
      <c r="G115" s="32"/>
      <c r="H115" s="32"/>
      <c r="I115" s="3"/>
      <c r="J115" s="3"/>
      <c r="K115" s="3"/>
      <c r="L115" s="3"/>
      <c r="M115" s="3"/>
      <c r="N115" s="3"/>
      <c r="O115" s="3"/>
      <c r="P115" s="3"/>
      <c r="Q115" s="3"/>
      <c r="R115" s="3"/>
      <c r="S115" s="3"/>
      <c r="U115" s="2"/>
      <c r="V115" s="3"/>
      <c r="X115" s="2"/>
    </row>
    <row r="116" spans="1:24" x14ac:dyDescent="0.25">
      <c r="A116" s="7"/>
      <c r="B116" s="7"/>
      <c r="C116" s="9"/>
      <c r="D116" s="9"/>
      <c r="E116" s="9"/>
      <c r="F116" s="9"/>
      <c r="G116" s="32"/>
      <c r="H116" s="32"/>
      <c r="I116" s="3"/>
      <c r="J116" s="3"/>
      <c r="K116" s="3"/>
      <c r="L116" s="3"/>
      <c r="M116" s="3"/>
      <c r="N116" s="3"/>
      <c r="O116" s="3"/>
      <c r="P116" s="3"/>
      <c r="Q116" s="3"/>
      <c r="R116" s="3"/>
      <c r="S116" s="3"/>
      <c r="U116" s="2"/>
      <c r="V116" s="3"/>
      <c r="X116" s="2"/>
    </row>
    <row r="117" spans="1:24" x14ac:dyDescent="0.25">
      <c r="A117" s="7"/>
      <c r="B117" s="7"/>
      <c r="C117" s="9"/>
      <c r="D117" s="9"/>
      <c r="E117" s="9"/>
      <c r="F117" s="9"/>
      <c r="G117" s="32"/>
      <c r="H117" s="32"/>
      <c r="I117" s="3"/>
      <c r="J117" s="3"/>
      <c r="K117" s="3"/>
      <c r="L117" s="3"/>
      <c r="M117" s="3"/>
      <c r="N117" s="3"/>
      <c r="O117" s="3"/>
      <c r="P117" s="3"/>
      <c r="Q117" s="3"/>
      <c r="R117" s="3"/>
      <c r="S117" s="3"/>
      <c r="U117" s="2"/>
      <c r="V117" s="3"/>
      <c r="X117" s="2"/>
    </row>
    <row r="118" spans="1:24" x14ac:dyDescent="0.25">
      <c r="A118" s="7"/>
      <c r="B118" s="7"/>
      <c r="C118" s="9"/>
      <c r="D118" s="9"/>
      <c r="E118" s="9"/>
      <c r="F118" s="9"/>
      <c r="G118" s="32"/>
      <c r="H118" s="32"/>
      <c r="I118" s="3"/>
      <c r="J118" s="3"/>
      <c r="K118" s="3"/>
      <c r="L118" s="3"/>
      <c r="M118" s="3"/>
      <c r="N118" s="3"/>
      <c r="O118" s="3"/>
      <c r="P118" s="3"/>
      <c r="Q118" s="3"/>
      <c r="R118" s="3"/>
      <c r="S118" s="3"/>
      <c r="U118" s="2"/>
      <c r="V118" s="3"/>
      <c r="X118" s="2"/>
    </row>
    <row r="119" spans="1:24" x14ac:dyDescent="0.25">
      <c r="A119" s="7"/>
      <c r="B119" s="7"/>
      <c r="C119" s="9"/>
      <c r="D119" s="9"/>
      <c r="E119" s="9"/>
      <c r="F119" s="9"/>
      <c r="G119" s="32"/>
      <c r="H119" s="32"/>
      <c r="I119" s="3"/>
      <c r="J119" s="3"/>
      <c r="K119" s="3"/>
      <c r="L119" s="3"/>
      <c r="M119" s="3"/>
      <c r="N119" s="3"/>
      <c r="O119" s="3"/>
      <c r="P119" s="3"/>
      <c r="Q119" s="3"/>
      <c r="R119" s="3"/>
      <c r="S119" s="3"/>
      <c r="U119" s="2"/>
      <c r="V119" s="3"/>
      <c r="X119" s="2"/>
    </row>
    <row r="120" spans="1:24" x14ac:dyDescent="0.25">
      <c r="A120" s="7"/>
      <c r="B120" s="7"/>
      <c r="C120" s="9"/>
      <c r="D120" s="9"/>
      <c r="E120" s="9"/>
      <c r="F120" s="9"/>
      <c r="G120" s="32"/>
      <c r="H120" s="32"/>
      <c r="I120" s="3"/>
      <c r="J120" s="3"/>
      <c r="K120" s="3"/>
      <c r="L120" s="3"/>
      <c r="M120" s="3"/>
      <c r="N120" s="3"/>
      <c r="O120" s="3"/>
      <c r="P120" s="3"/>
      <c r="Q120" s="3"/>
      <c r="R120" s="3"/>
      <c r="S120" s="3"/>
      <c r="U120" s="2"/>
      <c r="V120" s="3"/>
      <c r="X120" s="2"/>
    </row>
    <row r="121" spans="1:24" x14ac:dyDescent="0.25">
      <c r="A121" s="7"/>
      <c r="B121" s="7"/>
      <c r="C121" s="9"/>
      <c r="D121" s="9"/>
      <c r="E121" s="9"/>
      <c r="F121" s="9"/>
      <c r="G121" s="32"/>
      <c r="H121" s="32"/>
      <c r="I121" s="3"/>
      <c r="J121" s="3"/>
      <c r="K121" s="3"/>
      <c r="L121" s="3"/>
      <c r="M121" s="3"/>
      <c r="N121" s="3"/>
      <c r="O121" s="3"/>
      <c r="P121" s="3"/>
      <c r="Q121" s="3"/>
      <c r="R121" s="3"/>
      <c r="S121" s="3"/>
      <c r="U121" s="2"/>
      <c r="V121" s="3"/>
      <c r="X121" s="2"/>
    </row>
    <row r="122" spans="1:24" x14ac:dyDescent="0.25">
      <c r="A122" s="7"/>
      <c r="B122" s="7"/>
      <c r="C122" s="9"/>
      <c r="D122" s="9"/>
      <c r="E122" s="9"/>
      <c r="F122" s="9"/>
      <c r="G122" s="32"/>
      <c r="H122" s="32"/>
      <c r="I122" s="3"/>
      <c r="J122" s="3"/>
      <c r="K122" s="3"/>
      <c r="L122" s="3"/>
      <c r="M122" s="3"/>
      <c r="N122" s="3"/>
      <c r="O122" s="3"/>
      <c r="P122" s="3"/>
      <c r="Q122" s="3"/>
      <c r="R122" s="3"/>
      <c r="S122" s="3"/>
      <c r="U122" s="2"/>
      <c r="V122" s="3"/>
      <c r="X122" s="2"/>
    </row>
    <row r="123" spans="1:24" x14ac:dyDescent="0.25">
      <c r="A123" s="7"/>
      <c r="B123" s="7"/>
      <c r="C123" s="9"/>
      <c r="D123" s="9"/>
      <c r="E123" s="9"/>
      <c r="F123" s="9"/>
      <c r="G123" s="32"/>
      <c r="H123" s="32"/>
      <c r="I123" s="3"/>
      <c r="J123" s="3"/>
      <c r="K123" s="3"/>
      <c r="L123" s="3"/>
      <c r="M123" s="3"/>
      <c r="N123" s="3"/>
      <c r="O123" s="3"/>
      <c r="P123" s="3"/>
      <c r="Q123" s="3"/>
      <c r="R123" s="3"/>
      <c r="S123" s="3"/>
      <c r="U123" s="2"/>
      <c r="V123" s="3"/>
      <c r="X123" s="2"/>
    </row>
    <row r="124" spans="1:24" x14ac:dyDescent="0.25">
      <c r="A124" s="7" t="s">
        <v>49</v>
      </c>
      <c r="B124" s="7"/>
      <c r="C124" s="9"/>
      <c r="D124" s="9"/>
      <c r="E124" s="9"/>
      <c r="F124" s="9"/>
      <c r="G124" s="32"/>
      <c r="H124" s="32"/>
      <c r="I124" s="3"/>
      <c r="J124" s="3"/>
      <c r="K124" s="3"/>
      <c r="L124" s="3"/>
      <c r="M124" s="3"/>
      <c r="N124" s="3"/>
      <c r="O124" s="3"/>
      <c r="P124" s="3"/>
      <c r="Q124" s="3"/>
      <c r="R124" s="3"/>
      <c r="S124" s="3"/>
      <c r="U124" s="2"/>
      <c r="V124" s="3"/>
      <c r="X124" s="2"/>
    </row>
    <row r="125" spans="1:24" x14ac:dyDescent="0.25">
      <c r="A125" s="8"/>
      <c r="B125" s="8"/>
      <c r="C125" s="11"/>
      <c r="D125" s="11"/>
      <c r="E125" s="11"/>
      <c r="F125" s="11"/>
      <c r="G125" s="32"/>
      <c r="H125" s="32"/>
      <c r="I125" s="3"/>
      <c r="J125" s="3"/>
      <c r="K125" s="3"/>
      <c r="L125" s="3"/>
      <c r="M125" s="3"/>
      <c r="N125" s="3"/>
      <c r="O125" s="3"/>
      <c r="P125" s="3"/>
      <c r="Q125" s="3"/>
      <c r="R125" s="3"/>
      <c r="S125" s="3"/>
      <c r="U125" s="2"/>
      <c r="V125" s="3"/>
      <c r="X125" s="2"/>
    </row>
    <row r="126" spans="1:24" x14ac:dyDescent="0.25">
      <c r="J126" s="4"/>
      <c r="K126" s="4"/>
      <c r="L126" s="4"/>
      <c r="M126" s="4"/>
      <c r="N126" s="4"/>
      <c r="O126" s="4"/>
      <c r="P126" s="4"/>
      <c r="Q126" s="4"/>
      <c r="R126" s="4"/>
      <c r="S126" s="4"/>
      <c r="T126" s="5"/>
      <c r="U126" s="6"/>
      <c r="V126" s="4"/>
      <c r="W126" s="5"/>
      <c r="X126" s="6"/>
    </row>
  </sheetData>
  <mergeCells count="2">
    <mergeCell ref="D4:F4"/>
    <mergeCell ref="G4:I4"/>
  </mergeCells>
  <phoneticPr fontId="3"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K126"/>
  <sheetViews>
    <sheetView zoomScale="90" zoomScaleNormal="90" workbookViewId="0">
      <pane ySplit="5" topLeftCell="A90" activePane="bottomLeft" state="frozen"/>
      <selection pane="bottomLeft" activeCell="A110" sqref="A110"/>
    </sheetView>
  </sheetViews>
  <sheetFormatPr baseColWidth="10" defaultColWidth="9.140625" defaultRowHeight="15" x14ac:dyDescent="0.25"/>
  <cols>
    <col min="1" max="1" width="13.42578125" customWidth="1"/>
    <col min="2" max="2" width="13.28515625" customWidth="1"/>
    <col min="3" max="3" width="60.7109375" style="1" customWidth="1"/>
    <col min="4" max="6" width="5.42578125" style="1" bestFit="1" customWidth="1"/>
    <col min="7" max="8" width="7.7109375" style="1" bestFit="1" customWidth="1"/>
    <col min="9" max="9" width="7.7109375" bestFit="1" customWidth="1"/>
    <col min="10" max="18" width="13.28515625" customWidth="1"/>
    <col min="19" max="19" width="11.140625" bestFit="1" customWidth="1"/>
  </cols>
  <sheetData>
    <row r="2" spans="1:37" x14ac:dyDescent="0.25">
      <c r="A2" t="s">
        <v>0</v>
      </c>
      <c r="B2" s="1">
        <v>11.36</v>
      </c>
      <c r="C2" t="s">
        <v>1</v>
      </c>
    </row>
    <row r="3" spans="1:37" x14ac:dyDescent="0.25">
      <c r="A3" t="s">
        <v>2</v>
      </c>
      <c r="B3" s="1">
        <f>2*490</f>
        <v>980</v>
      </c>
      <c r="C3" t="s">
        <v>3</v>
      </c>
    </row>
    <row r="4" spans="1:37" x14ac:dyDescent="0.25">
      <c r="D4" s="44" t="s">
        <v>4</v>
      </c>
      <c r="E4" s="44"/>
      <c r="F4" s="44"/>
      <c r="G4" s="44" t="s">
        <v>5</v>
      </c>
      <c r="H4" s="44"/>
      <c r="I4" s="44"/>
      <c r="J4" t="s">
        <v>6</v>
      </c>
      <c r="M4" t="s">
        <v>7</v>
      </c>
      <c r="P4" t="s">
        <v>8</v>
      </c>
      <c r="S4" t="s">
        <v>9</v>
      </c>
      <c r="V4" t="s">
        <v>10</v>
      </c>
      <c r="Y4" t="s">
        <v>11</v>
      </c>
    </row>
    <row r="5" spans="1:37" x14ac:dyDescent="0.25">
      <c r="A5" s="21" t="s">
        <v>12</v>
      </c>
      <c r="B5" s="17" t="s">
        <v>13</v>
      </c>
      <c r="C5" s="16" t="s">
        <v>14</v>
      </c>
      <c r="D5" s="30" t="s">
        <v>15</v>
      </c>
      <c r="E5" s="30" t="s">
        <v>16</v>
      </c>
      <c r="F5" s="30" t="s">
        <v>17</v>
      </c>
      <c r="G5" s="30" t="s">
        <v>15</v>
      </c>
      <c r="H5" s="30" t="s">
        <v>16</v>
      </c>
      <c r="I5" s="30" t="s">
        <v>17</v>
      </c>
      <c r="J5" s="18" t="s">
        <v>111</v>
      </c>
      <c r="K5" s="18" t="s">
        <v>112</v>
      </c>
      <c r="L5" s="18" t="s">
        <v>113</v>
      </c>
      <c r="M5" s="18" t="s">
        <v>111</v>
      </c>
      <c r="N5" s="18" t="s">
        <v>112</v>
      </c>
      <c r="O5" s="18" t="s">
        <v>113</v>
      </c>
      <c r="P5" s="18" t="s">
        <v>111</v>
      </c>
      <c r="Q5" s="18" t="s">
        <v>112</v>
      </c>
      <c r="R5" s="18" t="s">
        <v>113</v>
      </c>
      <c r="S5" s="18" t="s">
        <v>111</v>
      </c>
      <c r="T5" s="18" t="s">
        <v>112</v>
      </c>
      <c r="U5" s="18" t="s">
        <v>113</v>
      </c>
      <c r="V5" s="18" t="s">
        <v>111</v>
      </c>
      <c r="W5" s="18" t="s">
        <v>112</v>
      </c>
      <c r="X5" s="18" t="s">
        <v>113</v>
      </c>
      <c r="Y5" s="18" t="s">
        <v>111</v>
      </c>
      <c r="Z5" s="18" t="s">
        <v>112</v>
      </c>
      <c r="AA5" s="24" t="s">
        <v>113</v>
      </c>
      <c r="AB5" s="25"/>
      <c r="AC5" s="25"/>
      <c r="AD5" s="25"/>
    </row>
    <row r="6" spans="1:37" x14ac:dyDescent="0.25">
      <c r="A6" s="37">
        <v>45842</v>
      </c>
      <c r="B6" s="38">
        <v>0.5</v>
      </c>
      <c r="C6" s="12" t="s">
        <v>114</v>
      </c>
      <c r="D6" s="9" t="s">
        <v>22</v>
      </c>
      <c r="E6" s="9" t="s">
        <v>22</v>
      </c>
      <c r="F6" s="9" t="s">
        <v>22</v>
      </c>
      <c r="G6" s="32"/>
      <c r="H6" s="32"/>
      <c r="I6" s="29"/>
      <c r="J6" s="22"/>
      <c r="K6" s="22"/>
      <c r="L6" s="22"/>
      <c r="M6" s="22"/>
      <c r="N6" s="22"/>
      <c r="O6" s="22"/>
      <c r="P6" s="22"/>
      <c r="Q6" s="22"/>
      <c r="R6" s="22"/>
      <c r="S6" s="3"/>
      <c r="U6" s="2"/>
      <c r="V6" s="3"/>
      <c r="X6" s="2"/>
    </row>
    <row r="7" spans="1:37" x14ac:dyDescent="0.25">
      <c r="A7" s="37">
        <f>A$6</f>
        <v>45842</v>
      </c>
      <c r="B7" s="38">
        <v>0.57708333333333328</v>
      </c>
      <c r="C7" s="9" t="s">
        <v>115</v>
      </c>
      <c r="D7" s="9" t="s">
        <v>22</v>
      </c>
      <c r="E7" s="9" t="s">
        <v>22</v>
      </c>
      <c r="F7" s="9" t="s">
        <v>22</v>
      </c>
      <c r="G7" s="31">
        <f>IF(D6="run",_xlfn.DAYS($A7,$A6),0)</f>
        <v>0</v>
      </c>
      <c r="H7" s="31">
        <f t="shared" ref="H7:I22" si="0">IF(E6="run",_xlfn.DAYS($A7,$A6),0)</f>
        <v>0</v>
      </c>
      <c r="I7" s="31">
        <f t="shared" si="0"/>
        <v>0</v>
      </c>
      <c r="J7" s="22"/>
      <c r="K7" s="22"/>
      <c r="L7" s="22"/>
      <c r="M7" s="22"/>
      <c r="N7" s="22"/>
      <c r="O7" s="22"/>
      <c r="P7" s="22"/>
      <c r="Q7" s="22"/>
      <c r="R7" s="22"/>
      <c r="S7" s="3"/>
      <c r="U7" s="2"/>
      <c r="V7" s="3"/>
      <c r="X7" s="2"/>
    </row>
    <row r="8" spans="1:37" x14ac:dyDescent="0.25">
      <c r="A8" s="37">
        <f t="shared" ref="A8:A9" si="1">A$6</f>
        <v>45842</v>
      </c>
      <c r="B8" s="38">
        <v>0.59513888888888888</v>
      </c>
      <c r="C8" s="9" t="s">
        <v>116</v>
      </c>
      <c r="D8" s="9" t="s">
        <v>22</v>
      </c>
      <c r="E8" s="9" t="s">
        <v>22</v>
      </c>
      <c r="F8" s="9" t="s">
        <v>22</v>
      </c>
      <c r="G8" s="31">
        <f t="shared" ref="G8:I25" si="2">IF(D7="run",_xlfn.DAYS($A8,$A7),0)</f>
        <v>0</v>
      </c>
      <c r="H8" s="31">
        <f t="shared" si="0"/>
        <v>0</v>
      </c>
      <c r="I8" s="31">
        <f t="shared" si="0"/>
        <v>0</v>
      </c>
      <c r="J8" s="22"/>
      <c r="K8" s="22"/>
      <c r="L8" s="22"/>
      <c r="M8" s="22"/>
      <c r="N8" s="22"/>
      <c r="O8" s="22"/>
      <c r="P8" s="22"/>
      <c r="Q8" s="22"/>
      <c r="R8" s="22"/>
      <c r="S8" s="3"/>
      <c r="U8" s="2"/>
      <c r="V8" s="3"/>
      <c r="X8" s="2"/>
      <c r="AI8" t="s">
        <v>117</v>
      </c>
      <c r="AK8" t="s">
        <v>118</v>
      </c>
    </row>
    <row r="9" spans="1:37" ht="17.25" customHeight="1" x14ac:dyDescent="0.25">
      <c r="A9" s="37">
        <f t="shared" si="1"/>
        <v>45842</v>
      </c>
      <c r="B9" s="38">
        <v>0.8208333333333333</v>
      </c>
      <c r="C9" s="13" t="s">
        <v>119</v>
      </c>
      <c r="D9" s="9" t="s">
        <v>22</v>
      </c>
      <c r="E9" s="9" t="s">
        <v>22</v>
      </c>
      <c r="F9" s="9" t="s">
        <v>57</v>
      </c>
      <c r="G9" s="31">
        <f t="shared" si="2"/>
        <v>0</v>
      </c>
      <c r="H9" s="31">
        <f t="shared" si="0"/>
        <v>0</v>
      </c>
      <c r="I9" s="31">
        <f t="shared" si="0"/>
        <v>0</v>
      </c>
      <c r="J9" s="22"/>
      <c r="K9" s="22"/>
      <c r="L9" s="22"/>
      <c r="M9" s="22"/>
      <c r="N9" s="22"/>
      <c r="O9" s="22"/>
      <c r="P9" s="22"/>
      <c r="Q9" s="22"/>
      <c r="R9" s="22"/>
      <c r="S9" s="3"/>
      <c r="U9" s="2"/>
      <c r="V9" s="3"/>
      <c r="X9" s="2"/>
      <c r="AI9">
        <v>12655</v>
      </c>
      <c r="AJ9">
        <f>AI9/24/60</f>
        <v>8.7881944444444446</v>
      </c>
      <c r="AK9">
        <v>8.798</v>
      </c>
    </row>
    <row r="10" spans="1:37" ht="30" x14ac:dyDescent="0.25">
      <c r="A10" s="37">
        <v>45845</v>
      </c>
      <c r="B10" s="38">
        <v>0.32777777777777778</v>
      </c>
      <c r="C10" s="10" t="s">
        <v>120</v>
      </c>
      <c r="D10" s="9" t="s">
        <v>57</v>
      </c>
      <c r="E10" s="9" t="s">
        <v>57</v>
      </c>
      <c r="F10" s="9" t="s">
        <v>57</v>
      </c>
      <c r="G10" s="31">
        <f t="shared" si="2"/>
        <v>3</v>
      </c>
      <c r="H10" s="31">
        <f t="shared" si="0"/>
        <v>3</v>
      </c>
      <c r="I10" s="31">
        <f t="shared" si="0"/>
        <v>0</v>
      </c>
      <c r="J10" s="22"/>
      <c r="K10" s="22"/>
      <c r="L10" s="22"/>
      <c r="M10" s="22"/>
      <c r="N10" s="22"/>
      <c r="O10" s="22"/>
      <c r="P10" s="22"/>
      <c r="Q10" s="22"/>
      <c r="R10" s="22"/>
      <c r="S10" s="3"/>
      <c r="U10" s="2"/>
      <c r="V10" s="3"/>
      <c r="X10" s="2"/>
    </row>
    <row r="11" spans="1:37" x14ac:dyDescent="0.25">
      <c r="A11" s="37">
        <v>45846</v>
      </c>
      <c r="B11" s="38">
        <v>0.62222222222222223</v>
      </c>
      <c r="C11" s="12" t="s">
        <v>121</v>
      </c>
      <c r="D11" s="9" t="s">
        <v>22</v>
      </c>
      <c r="E11" s="9" t="s">
        <v>22</v>
      </c>
      <c r="F11" s="9" t="s">
        <v>22</v>
      </c>
      <c r="G11" s="31">
        <f t="shared" si="2"/>
        <v>0</v>
      </c>
      <c r="H11" s="31">
        <f t="shared" si="0"/>
        <v>0</v>
      </c>
      <c r="I11" s="31">
        <f t="shared" si="0"/>
        <v>0</v>
      </c>
      <c r="J11" s="22"/>
      <c r="K11" s="22"/>
      <c r="L11" s="22"/>
      <c r="M11" s="22"/>
      <c r="N11" s="22"/>
      <c r="O11" s="22"/>
      <c r="P11" s="22"/>
      <c r="Q11" s="22"/>
      <c r="R11" s="22"/>
      <c r="S11" s="3"/>
      <c r="U11" s="2"/>
      <c r="V11" s="3"/>
      <c r="X11" s="2"/>
    </row>
    <row r="12" spans="1:37" x14ac:dyDescent="0.25">
      <c r="A12" s="37">
        <f>A11</f>
        <v>45846</v>
      </c>
      <c r="B12" s="38">
        <v>0.64652777777777781</v>
      </c>
      <c r="C12" s="9" t="s">
        <v>122</v>
      </c>
      <c r="D12" s="9" t="s">
        <v>22</v>
      </c>
      <c r="E12" s="9" t="s">
        <v>22</v>
      </c>
      <c r="F12" s="9" t="s">
        <v>22</v>
      </c>
      <c r="G12" s="31">
        <f t="shared" si="2"/>
        <v>0</v>
      </c>
      <c r="H12" s="31">
        <f t="shared" si="0"/>
        <v>0</v>
      </c>
      <c r="I12" s="31">
        <f t="shared" si="0"/>
        <v>0</v>
      </c>
      <c r="J12" s="22"/>
      <c r="K12" s="22"/>
      <c r="L12" s="22"/>
      <c r="M12" s="22"/>
      <c r="N12" s="22"/>
      <c r="O12" s="22"/>
      <c r="P12" s="22"/>
      <c r="Q12" s="22"/>
      <c r="R12" s="22"/>
      <c r="S12" s="3"/>
      <c r="U12" s="2"/>
      <c r="V12" s="3"/>
      <c r="X12" s="2"/>
    </row>
    <row r="13" spans="1:37" x14ac:dyDescent="0.25">
      <c r="A13" s="37">
        <v>45847</v>
      </c>
      <c r="B13" s="38">
        <v>0.42222222222222222</v>
      </c>
      <c r="C13" s="10" t="s">
        <v>123</v>
      </c>
      <c r="D13" s="9" t="s">
        <v>22</v>
      </c>
      <c r="E13" s="9" t="s">
        <v>22</v>
      </c>
      <c r="F13" s="9" t="s">
        <v>57</v>
      </c>
      <c r="G13" s="31">
        <f t="shared" si="2"/>
        <v>1</v>
      </c>
      <c r="H13" s="31">
        <f t="shared" si="0"/>
        <v>1</v>
      </c>
      <c r="I13" s="31">
        <f t="shared" si="0"/>
        <v>1</v>
      </c>
      <c r="J13" s="22"/>
      <c r="K13" s="22"/>
      <c r="L13" s="22"/>
      <c r="M13" s="22"/>
      <c r="N13" s="22"/>
      <c r="O13" s="22"/>
      <c r="P13" s="22"/>
      <c r="Q13" s="22"/>
      <c r="R13" s="22"/>
      <c r="S13" s="3"/>
      <c r="U13" s="2"/>
      <c r="V13" s="3"/>
      <c r="X13" s="2"/>
    </row>
    <row r="14" spans="1:37" x14ac:dyDescent="0.25">
      <c r="A14" s="37">
        <v>45847</v>
      </c>
      <c r="B14" s="38">
        <v>0.56874999999999998</v>
      </c>
      <c r="C14" s="9" t="s">
        <v>124</v>
      </c>
      <c r="D14" s="9" t="s">
        <v>22</v>
      </c>
      <c r="E14" s="9" t="s">
        <v>22</v>
      </c>
      <c r="F14" s="9" t="s">
        <v>22</v>
      </c>
      <c r="G14" s="31">
        <f t="shared" si="2"/>
        <v>0</v>
      </c>
      <c r="H14" s="31">
        <f t="shared" si="0"/>
        <v>0</v>
      </c>
      <c r="I14" s="31">
        <f t="shared" si="0"/>
        <v>0</v>
      </c>
      <c r="J14" s="22"/>
      <c r="K14" s="22"/>
      <c r="L14" s="22"/>
      <c r="M14" s="22"/>
      <c r="N14" s="22"/>
      <c r="O14" s="22"/>
      <c r="P14" s="22"/>
      <c r="Q14" s="22"/>
      <c r="R14" s="22"/>
      <c r="S14" s="3"/>
      <c r="U14" s="2"/>
      <c r="V14" s="3"/>
      <c r="X14" s="2"/>
    </row>
    <row r="15" spans="1:37" x14ac:dyDescent="0.25">
      <c r="A15" s="37">
        <f>A14</f>
        <v>45847</v>
      </c>
      <c r="B15" s="38">
        <v>0.63472222222222219</v>
      </c>
      <c r="C15" s="9" t="s">
        <v>125</v>
      </c>
      <c r="D15" s="9" t="s">
        <v>22</v>
      </c>
      <c r="E15" s="9" t="s">
        <v>22</v>
      </c>
      <c r="F15" s="9" t="s">
        <v>22</v>
      </c>
      <c r="G15" s="31">
        <f t="shared" si="2"/>
        <v>0</v>
      </c>
      <c r="H15" s="31">
        <f t="shared" si="0"/>
        <v>0</v>
      </c>
      <c r="I15" s="31">
        <f t="shared" si="0"/>
        <v>0</v>
      </c>
      <c r="J15" s="22"/>
      <c r="K15" s="22"/>
      <c r="L15" s="22"/>
      <c r="M15" s="22"/>
      <c r="N15" s="22"/>
      <c r="O15" s="22"/>
      <c r="P15" s="22"/>
      <c r="Q15" s="22"/>
      <c r="R15" s="22"/>
      <c r="S15" s="3"/>
      <c r="U15" s="2"/>
      <c r="V15" s="3"/>
      <c r="X15" s="2"/>
    </row>
    <row r="16" spans="1:37" ht="30" x14ac:dyDescent="0.25">
      <c r="A16" s="37">
        <v>45848</v>
      </c>
      <c r="B16" s="38">
        <v>0.6333333333333333</v>
      </c>
      <c r="C16" s="9" t="s">
        <v>126</v>
      </c>
      <c r="D16" s="9" t="s">
        <v>22</v>
      </c>
      <c r="E16" s="9" t="s">
        <v>22</v>
      </c>
      <c r="F16" s="9" t="s">
        <v>22</v>
      </c>
      <c r="G16" s="31">
        <f t="shared" si="2"/>
        <v>1</v>
      </c>
      <c r="H16" s="31">
        <f t="shared" si="0"/>
        <v>1</v>
      </c>
      <c r="I16" s="31">
        <f t="shared" si="0"/>
        <v>1</v>
      </c>
      <c r="J16" s="22"/>
      <c r="K16" s="22"/>
      <c r="L16" s="22"/>
      <c r="M16" s="22"/>
      <c r="N16" s="22"/>
      <c r="O16" s="22"/>
      <c r="P16" s="22"/>
      <c r="Q16" s="22"/>
      <c r="R16" s="22"/>
      <c r="S16" s="3"/>
      <c r="U16" s="2"/>
      <c r="V16" s="3"/>
      <c r="X16" s="2"/>
    </row>
    <row r="17" spans="1:24" x14ac:dyDescent="0.25">
      <c r="A17" s="37">
        <v>45849</v>
      </c>
      <c r="B17" s="28">
        <v>0.37847222222222221</v>
      </c>
      <c r="C17" s="10" t="s">
        <v>127</v>
      </c>
      <c r="D17" s="9" t="s">
        <v>57</v>
      </c>
      <c r="E17" s="9" t="s">
        <v>57</v>
      </c>
      <c r="F17" s="9" t="s">
        <v>57</v>
      </c>
      <c r="G17" s="31">
        <f t="shared" si="2"/>
        <v>1</v>
      </c>
      <c r="H17" s="31">
        <f t="shared" si="0"/>
        <v>1</v>
      </c>
      <c r="I17" s="31">
        <f t="shared" si="0"/>
        <v>1</v>
      </c>
      <c r="J17" s="23"/>
      <c r="K17" s="23"/>
      <c r="L17" s="23"/>
      <c r="M17" s="23"/>
      <c r="N17" s="23"/>
      <c r="O17" s="23"/>
      <c r="P17" s="23"/>
      <c r="Q17" s="23"/>
      <c r="R17" s="23"/>
      <c r="S17" s="3"/>
      <c r="U17" s="2"/>
      <c r="V17" s="3"/>
      <c r="X17" s="2"/>
    </row>
    <row r="18" spans="1:24" x14ac:dyDescent="0.25">
      <c r="A18" s="37">
        <v>45849</v>
      </c>
      <c r="B18" s="38">
        <v>0.68958333333333333</v>
      </c>
      <c r="C18" s="12" t="s">
        <v>128</v>
      </c>
      <c r="D18" s="9" t="s">
        <v>22</v>
      </c>
      <c r="E18" s="9" t="s">
        <v>22</v>
      </c>
      <c r="F18" s="9" t="s">
        <v>22</v>
      </c>
      <c r="G18" s="31">
        <f t="shared" si="2"/>
        <v>0</v>
      </c>
      <c r="H18" s="31">
        <f t="shared" si="0"/>
        <v>0</v>
      </c>
      <c r="I18" s="31">
        <f t="shared" si="0"/>
        <v>0</v>
      </c>
      <c r="J18" s="22"/>
      <c r="K18" s="22"/>
      <c r="L18" s="22"/>
      <c r="M18" s="22"/>
      <c r="N18" s="22"/>
      <c r="O18" s="22"/>
      <c r="P18" s="22"/>
      <c r="Q18" s="22"/>
      <c r="R18" s="22"/>
      <c r="S18" s="3"/>
      <c r="U18" s="2"/>
      <c r="V18" s="3"/>
      <c r="X18" s="2"/>
    </row>
    <row r="19" spans="1:24" x14ac:dyDescent="0.25">
      <c r="A19" s="37">
        <v>45852</v>
      </c>
      <c r="B19" s="38">
        <v>0.32916666666666666</v>
      </c>
      <c r="C19" s="9" t="s">
        <v>129</v>
      </c>
      <c r="D19" s="9" t="s">
        <v>22</v>
      </c>
      <c r="E19" s="9" t="s">
        <v>22</v>
      </c>
      <c r="F19" s="9" t="s">
        <v>22</v>
      </c>
      <c r="G19" s="31">
        <f t="shared" si="2"/>
        <v>3</v>
      </c>
      <c r="H19" s="31">
        <f t="shared" si="0"/>
        <v>3</v>
      </c>
      <c r="I19" s="31">
        <f t="shared" si="0"/>
        <v>3</v>
      </c>
      <c r="J19" s="22"/>
      <c r="K19" s="22"/>
      <c r="L19" s="22"/>
      <c r="M19" s="22"/>
      <c r="N19" s="22"/>
      <c r="O19" s="22"/>
      <c r="P19" s="22"/>
      <c r="Q19" s="22"/>
      <c r="R19" s="22"/>
      <c r="S19" s="3"/>
      <c r="U19" s="2"/>
      <c r="V19" s="3"/>
      <c r="X19" s="2"/>
    </row>
    <row r="20" spans="1:24" x14ac:dyDescent="0.25">
      <c r="A20" s="37">
        <v>45853</v>
      </c>
      <c r="B20" s="38">
        <v>0.32569444444444445</v>
      </c>
      <c r="C20" s="9" t="s">
        <v>129</v>
      </c>
      <c r="D20" s="9" t="s">
        <v>22</v>
      </c>
      <c r="E20" s="9" t="s">
        <v>22</v>
      </c>
      <c r="F20" s="9" t="s">
        <v>22</v>
      </c>
      <c r="G20" s="31">
        <f t="shared" si="2"/>
        <v>1</v>
      </c>
      <c r="H20" s="31">
        <f t="shared" si="0"/>
        <v>1</v>
      </c>
      <c r="I20" s="31">
        <f t="shared" si="0"/>
        <v>1</v>
      </c>
      <c r="J20" s="22"/>
      <c r="K20" s="22"/>
      <c r="L20" s="22"/>
      <c r="M20" s="22"/>
      <c r="N20" s="22"/>
      <c r="O20" s="22"/>
      <c r="P20" s="22"/>
      <c r="Q20" s="22"/>
      <c r="R20" s="22"/>
      <c r="S20" s="3"/>
      <c r="U20" s="2"/>
      <c r="V20" s="3"/>
      <c r="X20" s="2"/>
    </row>
    <row r="21" spans="1:24" x14ac:dyDescent="0.25">
      <c r="A21" s="37">
        <f>A20</f>
        <v>45853</v>
      </c>
      <c r="B21" s="38"/>
      <c r="C21" s="9"/>
      <c r="D21" s="9" t="s">
        <v>22</v>
      </c>
      <c r="E21" s="9" t="s">
        <v>22</v>
      </c>
      <c r="F21" s="9" t="s">
        <v>22</v>
      </c>
      <c r="G21" s="31">
        <f t="shared" si="2"/>
        <v>0</v>
      </c>
      <c r="H21" s="31">
        <f t="shared" si="0"/>
        <v>0</v>
      </c>
      <c r="I21" s="31">
        <f t="shared" si="0"/>
        <v>0</v>
      </c>
      <c r="J21" s="22"/>
      <c r="K21" s="22"/>
      <c r="L21" s="22"/>
      <c r="M21" s="22"/>
      <c r="N21" s="22"/>
      <c r="O21" s="22"/>
      <c r="P21" s="22"/>
      <c r="Q21" s="22"/>
      <c r="R21" s="22"/>
      <c r="S21" s="3"/>
      <c r="U21" s="2"/>
      <c r="V21" s="3"/>
      <c r="X21" s="2"/>
    </row>
    <row r="22" spans="1:24" x14ac:dyDescent="0.25">
      <c r="A22" s="37">
        <v>45859</v>
      </c>
      <c r="B22" s="38">
        <v>0.31458333333333333</v>
      </c>
      <c r="C22" s="9" t="s">
        <v>129</v>
      </c>
      <c r="D22" s="9" t="s">
        <v>22</v>
      </c>
      <c r="E22" s="9" t="s">
        <v>22</v>
      </c>
      <c r="F22" s="9" t="s">
        <v>22</v>
      </c>
      <c r="G22" s="31">
        <f t="shared" si="2"/>
        <v>6</v>
      </c>
      <c r="H22" s="31">
        <f t="shared" si="0"/>
        <v>6</v>
      </c>
      <c r="I22" s="31">
        <f t="shared" si="0"/>
        <v>6</v>
      </c>
      <c r="J22" s="22"/>
      <c r="K22" s="22"/>
      <c r="L22" s="22"/>
      <c r="M22" s="22"/>
      <c r="N22" s="22"/>
      <c r="O22" s="22"/>
      <c r="P22" s="22"/>
      <c r="Q22" s="22"/>
      <c r="R22" s="22"/>
      <c r="S22" s="3"/>
      <c r="U22" s="2"/>
      <c r="V22" s="3"/>
      <c r="X22" s="2"/>
    </row>
    <row r="23" spans="1:24" x14ac:dyDescent="0.25">
      <c r="A23" s="37">
        <f>A$22</f>
        <v>45859</v>
      </c>
      <c r="B23" s="38" t="s">
        <v>130</v>
      </c>
      <c r="C23" s="9" t="s">
        <v>131</v>
      </c>
      <c r="D23" s="9" t="s">
        <v>22</v>
      </c>
      <c r="E23" s="9" t="s">
        <v>22</v>
      </c>
      <c r="F23" s="9" t="s">
        <v>22</v>
      </c>
      <c r="G23" s="31">
        <f t="shared" si="2"/>
        <v>0</v>
      </c>
      <c r="H23" s="31">
        <f t="shared" si="2"/>
        <v>0</v>
      </c>
      <c r="I23" s="31">
        <f t="shared" si="2"/>
        <v>0</v>
      </c>
      <c r="J23" s="22"/>
      <c r="K23" s="22"/>
      <c r="L23" s="22"/>
      <c r="M23" s="22"/>
      <c r="N23" s="22"/>
      <c r="O23" s="22"/>
      <c r="P23" s="22"/>
      <c r="Q23" s="22"/>
      <c r="R23" s="22"/>
      <c r="S23" s="3"/>
      <c r="U23" s="2"/>
      <c r="V23" s="3"/>
      <c r="X23" s="2"/>
    </row>
    <row r="24" spans="1:24" ht="30" x14ac:dyDescent="0.25">
      <c r="A24" s="37">
        <f>A$22</f>
        <v>45859</v>
      </c>
      <c r="B24" s="38" t="s">
        <v>132</v>
      </c>
      <c r="C24" s="9" t="s">
        <v>133</v>
      </c>
      <c r="D24" s="9" t="s">
        <v>22</v>
      </c>
      <c r="E24" s="9" t="s">
        <v>22</v>
      </c>
      <c r="F24" s="9" t="s">
        <v>22</v>
      </c>
      <c r="G24" s="31">
        <f t="shared" si="2"/>
        <v>0</v>
      </c>
      <c r="H24" s="31">
        <f t="shared" si="2"/>
        <v>0</v>
      </c>
      <c r="I24" s="31">
        <f t="shared" si="2"/>
        <v>0</v>
      </c>
      <c r="J24" s="22"/>
      <c r="K24" s="22"/>
      <c r="L24" s="22"/>
      <c r="M24" s="22"/>
      <c r="N24" s="22"/>
      <c r="O24" s="22"/>
      <c r="P24" s="22"/>
      <c r="Q24" s="22"/>
      <c r="R24" s="22"/>
      <c r="S24" s="3"/>
      <c r="U24" s="2"/>
      <c r="V24" s="3"/>
      <c r="X24" s="2"/>
    </row>
    <row r="25" spans="1:24" x14ac:dyDescent="0.25">
      <c r="A25" s="37">
        <v>45860</v>
      </c>
      <c r="B25" s="38">
        <v>0.61319444444444449</v>
      </c>
      <c r="C25" s="9" t="s">
        <v>129</v>
      </c>
      <c r="D25" s="9" t="s">
        <v>22</v>
      </c>
      <c r="E25" s="9" t="s">
        <v>22</v>
      </c>
      <c r="F25" s="9" t="s">
        <v>22</v>
      </c>
      <c r="G25" s="31">
        <f t="shared" si="2"/>
        <v>1</v>
      </c>
      <c r="H25" s="31">
        <f t="shared" si="2"/>
        <v>1</v>
      </c>
      <c r="I25" s="31">
        <f t="shared" si="2"/>
        <v>1</v>
      </c>
      <c r="J25" s="22"/>
      <c r="K25" s="22"/>
      <c r="L25" s="22"/>
      <c r="M25" s="22"/>
      <c r="N25" s="22"/>
      <c r="O25" s="22"/>
      <c r="P25" s="22"/>
      <c r="Q25" s="22"/>
      <c r="R25" s="22"/>
      <c r="S25" s="3"/>
      <c r="U25" s="2"/>
      <c r="V25" s="3"/>
      <c r="X25" s="2"/>
    </row>
    <row r="26" spans="1:24" ht="30" x14ac:dyDescent="0.25">
      <c r="A26" s="37">
        <v>45861</v>
      </c>
      <c r="B26" s="38" t="s">
        <v>134</v>
      </c>
      <c r="C26" s="9" t="s">
        <v>135</v>
      </c>
      <c r="D26" s="9" t="s">
        <v>22</v>
      </c>
      <c r="E26" s="9" t="s">
        <v>22</v>
      </c>
      <c r="F26" s="9" t="s">
        <v>22</v>
      </c>
      <c r="G26" s="31">
        <f t="shared" ref="G26:G55" si="3">IF(D25="run",_xlfn.DAYS($A26,$A25),0)</f>
        <v>1</v>
      </c>
      <c r="H26" s="31">
        <f t="shared" ref="H26:H55" si="4">IF(E25="run",_xlfn.DAYS($A26,$A25),0)</f>
        <v>1</v>
      </c>
      <c r="I26" s="31">
        <f t="shared" ref="I26:I55" si="5">IF(F25="run",_xlfn.DAYS($A26,$A25),0)</f>
        <v>1</v>
      </c>
      <c r="J26" s="22"/>
      <c r="K26" s="22"/>
      <c r="L26" s="22"/>
      <c r="M26" s="22"/>
      <c r="N26" s="22"/>
      <c r="O26" s="22"/>
      <c r="P26" s="22"/>
      <c r="Q26" s="22"/>
      <c r="R26" s="22"/>
      <c r="S26" s="3"/>
      <c r="U26" s="2"/>
      <c r="V26" s="3"/>
      <c r="X26" s="2"/>
    </row>
    <row r="27" spans="1:24" x14ac:dyDescent="0.25">
      <c r="A27" s="37">
        <f>A$26</f>
        <v>45861</v>
      </c>
      <c r="B27" s="38">
        <v>0.62222222222222223</v>
      </c>
      <c r="C27" s="9" t="s">
        <v>136</v>
      </c>
      <c r="D27" s="9" t="s">
        <v>22</v>
      </c>
      <c r="E27" s="9" t="s">
        <v>22</v>
      </c>
      <c r="F27" s="9" t="s">
        <v>22</v>
      </c>
      <c r="G27" s="31">
        <f t="shared" si="3"/>
        <v>0</v>
      </c>
      <c r="H27" s="31">
        <f t="shared" si="4"/>
        <v>0</v>
      </c>
      <c r="I27" s="31">
        <f t="shared" si="5"/>
        <v>0</v>
      </c>
      <c r="J27" s="22"/>
      <c r="K27" s="22"/>
      <c r="L27" s="22"/>
      <c r="M27" s="22"/>
      <c r="N27" s="22"/>
      <c r="O27" s="22"/>
      <c r="P27" s="22"/>
      <c r="Q27" s="22"/>
      <c r="R27" s="22"/>
      <c r="S27" s="3"/>
      <c r="U27" s="2"/>
      <c r="V27" s="3"/>
      <c r="X27" s="2"/>
    </row>
    <row r="28" spans="1:24" x14ac:dyDescent="0.25">
      <c r="A28" s="37">
        <f>A$26</f>
        <v>45861</v>
      </c>
      <c r="B28" s="38">
        <v>0.65486111111111112</v>
      </c>
      <c r="C28" s="9" t="s">
        <v>137</v>
      </c>
      <c r="D28" s="9" t="s">
        <v>22</v>
      </c>
      <c r="E28" s="9" t="s">
        <v>22</v>
      </c>
      <c r="F28" s="9" t="s">
        <v>22</v>
      </c>
      <c r="G28" s="31">
        <f t="shared" si="3"/>
        <v>0</v>
      </c>
      <c r="H28" s="31">
        <f t="shared" si="4"/>
        <v>0</v>
      </c>
      <c r="I28" s="31">
        <f t="shared" si="5"/>
        <v>0</v>
      </c>
      <c r="J28" s="22"/>
      <c r="K28" s="22"/>
      <c r="L28" s="22"/>
      <c r="M28" s="22"/>
      <c r="N28" s="22"/>
      <c r="O28" s="22"/>
      <c r="P28" s="22"/>
      <c r="Q28" s="22"/>
      <c r="R28" s="22"/>
      <c r="S28" s="3"/>
      <c r="U28" s="2"/>
      <c r="V28" s="3"/>
      <c r="X28" s="2"/>
    </row>
    <row r="29" spans="1:24" x14ac:dyDescent="0.25">
      <c r="A29" s="37">
        <v>45862</v>
      </c>
      <c r="B29" s="38" t="s">
        <v>138</v>
      </c>
      <c r="C29" s="9" t="s">
        <v>139</v>
      </c>
      <c r="D29" s="9" t="s">
        <v>22</v>
      </c>
      <c r="E29" s="9" t="s">
        <v>22</v>
      </c>
      <c r="F29" s="9" t="s">
        <v>22</v>
      </c>
      <c r="G29" s="31">
        <f t="shared" si="3"/>
        <v>1</v>
      </c>
      <c r="H29" s="31">
        <f t="shared" si="4"/>
        <v>1</v>
      </c>
      <c r="I29" s="31">
        <f t="shared" si="5"/>
        <v>1</v>
      </c>
      <c r="J29" s="22"/>
      <c r="K29" s="22"/>
      <c r="L29" s="22"/>
      <c r="M29" s="22"/>
      <c r="N29" s="22"/>
      <c r="O29" s="22"/>
      <c r="P29" s="22"/>
      <c r="Q29" s="22"/>
      <c r="R29" s="22"/>
      <c r="S29" s="3"/>
      <c r="U29" s="2"/>
      <c r="V29" s="3"/>
      <c r="X29" s="2"/>
    </row>
    <row r="30" spans="1:24" x14ac:dyDescent="0.25">
      <c r="A30" s="37">
        <v>45863</v>
      </c>
      <c r="B30" s="38">
        <v>0.31874999999999998</v>
      </c>
      <c r="C30" s="9" t="s">
        <v>129</v>
      </c>
      <c r="D30" s="9" t="s">
        <v>22</v>
      </c>
      <c r="E30" s="9" t="s">
        <v>22</v>
      </c>
      <c r="F30" s="9" t="s">
        <v>22</v>
      </c>
      <c r="G30" s="31">
        <f t="shared" si="3"/>
        <v>1</v>
      </c>
      <c r="H30" s="31">
        <f t="shared" si="4"/>
        <v>1</v>
      </c>
      <c r="I30" s="31">
        <f t="shared" si="5"/>
        <v>1</v>
      </c>
      <c r="J30" s="22"/>
      <c r="K30" s="22"/>
      <c r="L30" s="22"/>
      <c r="M30" s="22"/>
      <c r="N30" s="22"/>
      <c r="O30" s="22"/>
      <c r="P30" s="22"/>
      <c r="Q30" s="22"/>
      <c r="R30" s="22"/>
      <c r="S30" s="3"/>
      <c r="U30" s="2"/>
      <c r="V30" s="3"/>
      <c r="X30" s="2"/>
    </row>
    <row r="31" spans="1:24" x14ac:dyDescent="0.25">
      <c r="A31" s="37">
        <v>45866</v>
      </c>
      <c r="B31" s="38">
        <v>0.27777777777777779</v>
      </c>
      <c r="C31" s="9" t="s">
        <v>129</v>
      </c>
      <c r="D31" s="9" t="s">
        <v>22</v>
      </c>
      <c r="E31" s="9" t="s">
        <v>22</v>
      </c>
      <c r="F31" s="9" t="s">
        <v>22</v>
      </c>
      <c r="G31" s="31">
        <f t="shared" si="3"/>
        <v>3</v>
      </c>
      <c r="H31" s="31">
        <f t="shared" si="4"/>
        <v>3</v>
      </c>
      <c r="I31" s="31">
        <f t="shared" si="5"/>
        <v>3</v>
      </c>
      <c r="J31" s="22"/>
      <c r="K31" s="22"/>
      <c r="L31" s="22"/>
      <c r="M31" s="22"/>
      <c r="N31" s="22"/>
      <c r="O31" s="22"/>
      <c r="P31" s="22"/>
      <c r="Q31" s="22"/>
      <c r="R31" s="22"/>
      <c r="S31" s="3"/>
      <c r="U31" s="2"/>
      <c r="V31" s="3"/>
      <c r="X31" s="2"/>
    </row>
    <row r="32" spans="1:24" x14ac:dyDescent="0.25">
      <c r="A32" s="37">
        <v>45867</v>
      </c>
      <c r="B32" s="38">
        <v>0.3298611111111111</v>
      </c>
      <c r="C32" s="9" t="s">
        <v>129</v>
      </c>
      <c r="D32" s="9" t="s">
        <v>22</v>
      </c>
      <c r="E32" s="9" t="s">
        <v>22</v>
      </c>
      <c r="F32" s="9" t="s">
        <v>22</v>
      </c>
      <c r="G32" s="31">
        <f t="shared" si="3"/>
        <v>1</v>
      </c>
      <c r="H32" s="31">
        <f t="shared" si="4"/>
        <v>1</v>
      </c>
      <c r="I32" s="31">
        <f t="shared" si="5"/>
        <v>1</v>
      </c>
      <c r="J32" s="22"/>
      <c r="K32" s="22"/>
      <c r="L32" s="22"/>
      <c r="M32" s="22"/>
      <c r="N32" s="22"/>
      <c r="O32" s="22"/>
      <c r="P32" s="22"/>
      <c r="Q32" s="22"/>
      <c r="R32" s="22"/>
      <c r="S32" s="3"/>
      <c r="U32" s="2"/>
      <c r="V32" s="3"/>
      <c r="X32" s="2"/>
    </row>
    <row r="33" spans="1:24" x14ac:dyDescent="0.25">
      <c r="A33" s="37">
        <v>45869</v>
      </c>
      <c r="B33" s="38">
        <v>0.30069444444444443</v>
      </c>
      <c r="C33" s="9" t="s">
        <v>129</v>
      </c>
      <c r="D33" s="9" t="s">
        <v>22</v>
      </c>
      <c r="E33" s="9" t="s">
        <v>22</v>
      </c>
      <c r="F33" s="9" t="s">
        <v>22</v>
      </c>
      <c r="G33" s="31">
        <f t="shared" si="3"/>
        <v>2</v>
      </c>
      <c r="H33" s="31">
        <f t="shared" si="4"/>
        <v>2</v>
      </c>
      <c r="I33" s="31">
        <f t="shared" si="5"/>
        <v>2</v>
      </c>
      <c r="J33" s="22"/>
      <c r="K33" s="22"/>
      <c r="L33" s="22"/>
      <c r="M33" s="22"/>
      <c r="N33" s="22"/>
      <c r="O33" s="22"/>
      <c r="P33" s="22"/>
      <c r="Q33" s="22"/>
      <c r="R33" s="22"/>
      <c r="S33" s="3"/>
      <c r="U33" s="2"/>
      <c r="V33" s="3"/>
      <c r="X33" s="2"/>
    </row>
    <row r="34" spans="1:24" x14ac:dyDescent="0.25">
      <c r="A34" s="37">
        <v>45870</v>
      </c>
      <c r="B34" s="38">
        <v>0.28888888888888886</v>
      </c>
      <c r="C34" s="9" t="s">
        <v>129</v>
      </c>
      <c r="D34" s="9" t="s">
        <v>22</v>
      </c>
      <c r="E34" s="9" t="s">
        <v>22</v>
      </c>
      <c r="F34" s="9" t="s">
        <v>22</v>
      </c>
      <c r="G34" s="31">
        <f t="shared" si="3"/>
        <v>1</v>
      </c>
      <c r="H34" s="31">
        <f t="shared" si="4"/>
        <v>1</v>
      </c>
      <c r="I34" s="31">
        <f t="shared" si="5"/>
        <v>1</v>
      </c>
      <c r="J34" s="22"/>
      <c r="K34" s="22"/>
      <c r="L34" s="22"/>
      <c r="M34" s="22"/>
      <c r="N34" s="22"/>
      <c r="O34" s="22"/>
      <c r="P34" s="22"/>
      <c r="Q34" s="22"/>
      <c r="R34" s="22"/>
      <c r="S34" s="3"/>
      <c r="U34" s="2"/>
      <c r="V34" s="3"/>
      <c r="X34" s="2"/>
    </row>
    <row r="35" spans="1:24" x14ac:dyDescent="0.25">
      <c r="A35" s="37">
        <v>45870</v>
      </c>
      <c r="B35" s="38">
        <v>0.37847222222222221</v>
      </c>
      <c r="C35" s="9" t="s">
        <v>58</v>
      </c>
      <c r="D35" s="9" t="s">
        <v>22</v>
      </c>
      <c r="E35" s="9" t="s">
        <v>22</v>
      </c>
      <c r="F35" s="9" t="s">
        <v>22</v>
      </c>
      <c r="G35" s="31">
        <f t="shared" si="3"/>
        <v>0</v>
      </c>
      <c r="H35" s="31">
        <f t="shared" si="4"/>
        <v>0</v>
      </c>
      <c r="I35" s="31">
        <f t="shared" si="5"/>
        <v>0</v>
      </c>
      <c r="J35" s="22"/>
      <c r="K35" s="22"/>
      <c r="L35" s="22"/>
      <c r="M35" s="22"/>
      <c r="N35" s="22"/>
      <c r="O35" s="22"/>
      <c r="P35" s="22"/>
      <c r="Q35" s="22"/>
      <c r="R35" s="22"/>
      <c r="S35" s="3"/>
      <c r="U35" s="2"/>
      <c r="V35" s="3"/>
      <c r="X35" s="2"/>
    </row>
    <row r="36" spans="1:24" x14ac:dyDescent="0.25">
      <c r="A36" s="37">
        <v>45873</v>
      </c>
      <c r="B36" s="38">
        <v>0.29166666666666669</v>
      </c>
      <c r="C36" s="9" t="s">
        <v>129</v>
      </c>
      <c r="D36" s="9" t="s">
        <v>22</v>
      </c>
      <c r="E36" s="9" t="s">
        <v>22</v>
      </c>
      <c r="F36" s="9" t="s">
        <v>22</v>
      </c>
      <c r="G36" s="31">
        <f t="shared" si="3"/>
        <v>3</v>
      </c>
      <c r="H36" s="31">
        <f t="shared" si="4"/>
        <v>3</v>
      </c>
      <c r="I36" s="31">
        <f t="shared" si="5"/>
        <v>3</v>
      </c>
      <c r="J36" s="22"/>
      <c r="K36" s="22"/>
      <c r="L36" s="22"/>
      <c r="M36" s="22"/>
      <c r="N36" s="22"/>
      <c r="O36" s="22"/>
      <c r="P36" s="22"/>
      <c r="Q36" s="22"/>
      <c r="R36" s="22"/>
      <c r="S36" s="3"/>
      <c r="U36" s="2"/>
      <c r="V36" s="3"/>
      <c r="X36" s="2"/>
    </row>
    <row r="37" spans="1:24" ht="30" x14ac:dyDescent="0.25">
      <c r="A37" s="37">
        <v>45874</v>
      </c>
      <c r="B37" s="38">
        <v>0.30555555555555558</v>
      </c>
      <c r="C37" s="9" t="s">
        <v>140</v>
      </c>
      <c r="D37" s="9" t="s">
        <v>22</v>
      </c>
      <c r="E37" s="9" t="s">
        <v>22</v>
      </c>
      <c r="F37" s="9" t="s">
        <v>22</v>
      </c>
      <c r="G37" s="31">
        <f t="shared" si="3"/>
        <v>1</v>
      </c>
      <c r="H37" s="31">
        <f t="shared" si="4"/>
        <v>1</v>
      </c>
      <c r="I37" s="31">
        <f t="shared" si="5"/>
        <v>1</v>
      </c>
      <c r="J37" s="22"/>
      <c r="K37" s="22"/>
      <c r="L37" s="22"/>
      <c r="M37" s="22"/>
      <c r="N37" s="22"/>
      <c r="O37" s="22"/>
      <c r="P37" s="22"/>
      <c r="Q37" s="22"/>
      <c r="R37" s="22"/>
      <c r="S37" s="3"/>
      <c r="U37" s="2"/>
      <c r="V37" s="3"/>
      <c r="X37" s="2"/>
    </row>
    <row r="38" spans="1:24" x14ac:dyDescent="0.25">
      <c r="A38" s="37">
        <f>A37</f>
        <v>45874</v>
      </c>
      <c r="B38" s="38">
        <v>0.6381944444444444</v>
      </c>
      <c r="C38" s="9" t="s">
        <v>141</v>
      </c>
      <c r="D38" s="9" t="s">
        <v>22</v>
      </c>
      <c r="E38" s="9" t="s">
        <v>22</v>
      </c>
      <c r="F38" s="9" t="s">
        <v>22</v>
      </c>
      <c r="G38" s="31">
        <f t="shared" si="3"/>
        <v>0</v>
      </c>
      <c r="H38" s="31">
        <f t="shared" si="4"/>
        <v>0</v>
      </c>
      <c r="I38" s="31">
        <f t="shared" si="5"/>
        <v>0</v>
      </c>
      <c r="J38" s="22"/>
      <c r="K38" s="22"/>
      <c r="L38" s="22"/>
      <c r="M38" s="22"/>
      <c r="N38" s="22"/>
      <c r="O38" s="22"/>
      <c r="P38" s="22"/>
      <c r="Q38" s="22"/>
      <c r="R38" s="22"/>
      <c r="S38" s="3"/>
      <c r="U38" s="2"/>
      <c r="V38" s="3"/>
      <c r="X38" s="2"/>
    </row>
    <row r="39" spans="1:24" x14ac:dyDescent="0.25">
      <c r="A39" s="37">
        <v>45875</v>
      </c>
      <c r="B39" s="38">
        <v>0.43958333333333333</v>
      </c>
      <c r="C39" s="9" t="s">
        <v>142</v>
      </c>
      <c r="D39" s="9" t="s">
        <v>57</v>
      </c>
      <c r="E39" s="9" t="s">
        <v>57</v>
      </c>
      <c r="F39" s="9" t="s">
        <v>57</v>
      </c>
      <c r="G39" s="31">
        <f t="shared" si="3"/>
        <v>1</v>
      </c>
      <c r="H39" s="31">
        <f t="shared" si="4"/>
        <v>1</v>
      </c>
      <c r="I39" s="31">
        <f t="shared" si="5"/>
        <v>1</v>
      </c>
      <c r="J39" s="3"/>
      <c r="K39" s="3"/>
      <c r="L39" s="3"/>
      <c r="M39" s="3"/>
      <c r="N39" s="3"/>
      <c r="O39" s="3"/>
      <c r="P39" s="3"/>
      <c r="Q39" s="3"/>
      <c r="R39" s="3"/>
      <c r="S39" s="3"/>
      <c r="U39" s="2"/>
      <c r="V39" s="3"/>
      <c r="X39" s="2"/>
    </row>
    <row r="40" spans="1:24" x14ac:dyDescent="0.25">
      <c r="A40" s="37">
        <f>A39</f>
        <v>45875</v>
      </c>
      <c r="B40" s="38"/>
      <c r="C40" s="9" t="s">
        <v>143</v>
      </c>
      <c r="D40" s="9" t="s">
        <v>57</v>
      </c>
      <c r="E40" s="9" t="s">
        <v>57</v>
      </c>
      <c r="F40" s="9" t="s">
        <v>57</v>
      </c>
      <c r="G40" s="31">
        <f t="shared" si="3"/>
        <v>0</v>
      </c>
      <c r="H40" s="31">
        <f t="shared" si="4"/>
        <v>0</v>
      </c>
      <c r="I40" s="31">
        <f t="shared" si="5"/>
        <v>0</v>
      </c>
      <c r="J40" s="3"/>
      <c r="K40" s="3"/>
      <c r="L40" s="3"/>
      <c r="M40" s="3"/>
      <c r="N40" s="3"/>
      <c r="O40" s="3"/>
      <c r="P40" s="3"/>
      <c r="Q40" s="3"/>
      <c r="R40" s="3"/>
      <c r="S40" s="3"/>
      <c r="U40" s="2"/>
      <c r="V40" s="3"/>
      <c r="X40" s="2"/>
    </row>
    <row r="41" spans="1:24" x14ac:dyDescent="0.25">
      <c r="A41" s="37">
        <v>45876</v>
      </c>
      <c r="B41" s="38">
        <v>0.67777777777777781</v>
      </c>
      <c r="C41" s="9" t="s">
        <v>129</v>
      </c>
      <c r="D41" s="9" t="s">
        <v>22</v>
      </c>
      <c r="E41" s="9" t="s">
        <v>22</v>
      </c>
      <c r="F41" s="9" t="s">
        <v>22</v>
      </c>
      <c r="G41" s="31">
        <f t="shared" si="3"/>
        <v>0</v>
      </c>
      <c r="H41" s="31">
        <f t="shared" si="4"/>
        <v>0</v>
      </c>
      <c r="I41" s="31">
        <f t="shared" si="5"/>
        <v>0</v>
      </c>
      <c r="J41" s="22"/>
      <c r="K41" s="22"/>
      <c r="L41" s="22"/>
      <c r="M41" s="22"/>
      <c r="N41" s="22"/>
      <c r="O41" s="22"/>
      <c r="P41" s="22"/>
      <c r="Q41" s="22"/>
      <c r="R41" s="22"/>
      <c r="S41" s="3"/>
      <c r="U41" s="2"/>
      <c r="V41" s="3"/>
      <c r="X41" s="2"/>
    </row>
    <row r="42" spans="1:24" x14ac:dyDescent="0.25">
      <c r="A42" s="37">
        <v>45880</v>
      </c>
      <c r="B42" s="38">
        <v>0.35069444444444442</v>
      </c>
      <c r="C42" s="9" t="s">
        <v>129</v>
      </c>
      <c r="D42" s="9" t="s">
        <v>22</v>
      </c>
      <c r="E42" s="9" t="s">
        <v>22</v>
      </c>
      <c r="F42" s="9" t="s">
        <v>22</v>
      </c>
      <c r="G42" s="31">
        <f t="shared" si="3"/>
        <v>4</v>
      </c>
      <c r="H42" s="31">
        <f t="shared" si="4"/>
        <v>4</v>
      </c>
      <c r="I42" s="31">
        <f t="shared" si="5"/>
        <v>4</v>
      </c>
      <c r="J42" s="22"/>
      <c r="K42" s="22"/>
      <c r="L42" s="22"/>
      <c r="M42" s="22"/>
      <c r="N42" s="22"/>
      <c r="O42" s="22"/>
      <c r="P42" s="22"/>
      <c r="Q42" s="22"/>
      <c r="R42" s="22"/>
      <c r="S42" s="3"/>
      <c r="U42" s="2"/>
      <c r="V42" s="3"/>
      <c r="X42" s="2"/>
    </row>
    <row r="43" spans="1:24" x14ac:dyDescent="0.25">
      <c r="A43" s="37">
        <v>45881</v>
      </c>
      <c r="B43" s="38">
        <v>0.33333333333333331</v>
      </c>
      <c r="C43" s="9" t="s">
        <v>60</v>
      </c>
      <c r="D43" s="9" t="s">
        <v>22</v>
      </c>
      <c r="E43" s="9" t="s">
        <v>22</v>
      </c>
      <c r="F43" s="9" t="s">
        <v>22</v>
      </c>
      <c r="G43" s="31">
        <f t="shared" si="3"/>
        <v>1</v>
      </c>
      <c r="H43" s="31">
        <f t="shared" si="4"/>
        <v>1</v>
      </c>
      <c r="I43" s="31">
        <f t="shared" si="5"/>
        <v>1</v>
      </c>
      <c r="J43" s="22"/>
      <c r="K43" s="22"/>
      <c r="L43" s="22"/>
      <c r="M43" s="22"/>
      <c r="N43" s="22"/>
      <c r="O43" s="22"/>
      <c r="P43" s="22"/>
      <c r="Q43" s="22"/>
      <c r="R43" s="22"/>
      <c r="S43" s="3"/>
      <c r="U43" s="2"/>
      <c r="V43" s="3"/>
      <c r="X43" s="2"/>
    </row>
    <row r="44" spans="1:24" x14ac:dyDescent="0.25">
      <c r="A44" s="37">
        <f>A$43</f>
        <v>45881</v>
      </c>
      <c r="B44" s="38">
        <v>0.47361111111111109</v>
      </c>
      <c r="C44" s="9" t="s">
        <v>144</v>
      </c>
      <c r="D44" s="9" t="s">
        <v>22</v>
      </c>
      <c r="E44" s="9" t="s">
        <v>22</v>
      </c>
      <c r="F44" s="9" t="s">
        <v>22</v>
      </c>
      <c r="G44" s="31">
        <f t="shared" si="3"/>
        <v>0</v>
      </c>
      <c r="H44" s="31">
        <f t="shared" si="4"/>
        <v>0</v>
      </c>
      <c r="I44" s="31">
        <f t="shared" si="5"/>
        <v>0</v>
      </c>
      <c r="J44" s="22"/>
      <c r="K44" s="22"/>
      <c r="L44" s="22"/>
      <c r="M44" s="22"/>
      <c r="N44" s="22"/>
      <c r="O44" s="22"/>
      <c r="P44" s="22"/>
      <c r="Q44" s="22"/>
      <c r="R44" s="22"/>
      <c r="S44" s="3"/>
      <c r="U44" s="2"/>
      <c r="V44" s="3"/>
      <c r="X44" s="2"/>
    </row>
    <row r="45" spans="1:24" x14ac:dyDescent="0.25">
      <c r="A45" s="37">
        <f t="shared" ref="A45:A46" si="6">A$43</f>
        <v>45881</v>
      </c>
      <c r="B45" s="38">
        <v>0.5625</v>
      </c>
      <c r="C45" s="9" t="s">
        <v>145</v>
      </c>
      <c r="D45" s="9" t="s">
        <v>57</v>
      </c>
      <c r="E45" s="9" t="s">
        <v>57</v>
      </c>
      <c r="F45" s="9" t="s">
        <v>57</v>
      </c>
      <c r="G45" s="31">
        <f t="shared" si="3"/>
        <v>0</v>
      </c>
      <c r="H45" s="31">
        <f t="shared" si="4"/>
        <v>0</v>
      </c>
      <c r="I45" s="31">
        <f t="shared" si="5"/>
        <v>0</v>
      </c>
      <c r="J45" s="22"/>
      <c r="K45" s="22"/>
      <c r="L45" s="22"/>
      <c r="M45" s="22"/>
      <c r="N45" s="22"/>
      <c r="O45" s="22"/>
      <c r="P45" s="22"/>
      <c r="Q45" s="22"/>
      <c r="R45" s="22"/>
      <c r="S45" s="3"/>
      <c r="U45" s="2"/>
      <c r="V45" s="3"/>
      <c r="X45" s="2"/>
    </row>
    <row r="46" spans="1:24" x14ac:dyDescent="0.25">
      <c r="A46" s="37">
        <f t="shared" si="6"/>
        <v>45881</v>
      </c>
      <c r="B46" s="38">
        <v>0.61388888888888893</v>
      </c>
      <c r="C46" s="9" t="s">
        <v>146</v>
      </c>
      <c r="D46" s="9" t="s">
        <v>22</v>
      </c>
      <c r="E46" s="9" t="s">
        <v>22</v>
      </c>
      <c r="F46" s="9" t="s">
        <v>22</v>
      </c>
      <c r="G46" s="31">
        <f t="shared" si="3"/>
        <v>0</v>
      </c>
      <c r="H46" s="31">
        <f t="shared" si="4"/>
        <v>0</v>
      </c>
      <c r="I46" s="31">
        <f t="shared" si="5"/>
        <v>0</v>
      </c>
      <c r="J46" s="22"/>
      <c r="K46" s="22"/>
      <c r="L46" s="22"/>
      <c r="M46" s="22"/>
      <c r="N46" s="22"/>
      <c r="O46" s="22"/>
      <c r="P46" s="22"/>
      <c r="Q46" s="22"/>
      <c r="R46" s="22"/>
      <c r="S46" s="3"/>
      <c r="U46" s="2"/>
      <c r="V46" s="3"/>
      <c r="X46" s="2"/>
    </row>
    <row r="47" spans="1:24" x14ac:dyDescent="0.25">
      <c r="A47" s="37">
        <v>45883</v>
      </c>
      <c r="B47" s="38">
        <v>0.29166666666666669</v>
      </c>
      <c r="C47" s="9" t="s">
        <v>129</v>
      </c>
      <c r="D47" s="9" t="s">
        <v>22</v>
      </c>
      <c r="E47" s="9" t="s">
        <v>22</v>
      </c>
      <c r="F47" s="9" t="s">
        <v>22</v>
      </c>
      <c r="G47" s="31">
        <f t="shared" si="3"/>
        <v>2</v>
      </c>
      <c r="H47" s="31">
        <f t="shared" si="4"/>
        <v>2</v>
      </c>
      <c r="I47" s="31">
        <f t="shared" si="5"/>
        <v>2</v>
      </c>
      <c r="J47" s="22"/>
      <c r="K47" s="22"/>
      <c r="L47" s="22"/>
      <c r="M47" s="22"/>
      <c r="N47" s="22"/>
      <c r="O47" s="22"/>
      <c r="P47" s="22"/>
      <c r="Q47" s="22"/>
      <c r="R47" s="22"/>
      <c r="S47" s="3"/>
      <c r="U47" s="2"/>
      <c r="V47" s="3"/>
      <c r="X47" s="2"/>
    </row>
    <row r="48" spans="1:24" x14ac:dyDescent="0.25">
      <c r="A48" s="37">
        <v>45887</v>
      </c>
      <c r="B48" s="38">
        <v>0.3</v>
      </c>
      <c r="C48" s="9" t="s">
        <v>129</v>
      </c>
      <c r="D48" s="9" t="s">
        <v>22</v>
      </c>
      <c r="E48" s="9" t="s">
        <v>22</v>
      </c>
      <c r="F48" s="9" t="s">
        <v>22</v>
      </c>
      <c r="G48" s="31">
        <f t="shared" si="3"/>
        <v>4</v>
      </c>
      <c r="H48" s="31">
        <f t="shared" si="4"/>
        <v>4</v>
      </c>
      <c r="I48" s="31">
        <f t="shared" si="5"/>
        <v>4</v>
      </c>
      <c r="J48" s="22"/>
      <c r="K48" s="22"/>
      <c r="L48" s="22"/>
      <c r="M48" s="22"/>
      <c r="N48" s="22"/>
      <c r="O48" s="22"/>
      <c r="P48" s="22"/>
      <c r="Q48" s="22"/>
      <c r="R48" s="22"/>
      <c r="S48" s="3"/>
      <c r="U48" s="2"/>
      <c r="V48" s="3"/>
      <c r="X48" s="2"/>
    </row>
    <row r="49" spans="1:24" x14ac:dyDescent="0.25">
      <c r="A49" s="37">
        <v>45888</v>
      </c>
      <c r="B49" s="38">
        <v>0.71527777777777779</v>
      </c>
      <c r="C49" s="9" t="s">
        <v>129</v>
      </c>
      <c r="D49" s="9" t="s">
        <v>22</v>
      </c>
      <c r="E49" s="9" t="s">
        <v>22</v>
      </c>
      <c r="F49" s="9" t="s">
        <v>22</v>
      </c>
      <c r="G49" s="31">
        <f t="shared" si="3"/>
        <v>1</v>
      </c>
      <c r="H49" s="31">
        <f t="shared" si="4"/>
        <v>1</v>
      </c>
      <c r="I49" s="31">
        <f t="shared" si="5"/>
        <v>1</v>
      </c>
      <c r="J49" s="22"/>
      <c r="K49" s="22"/>
      <c r="L49" s="22"/>
      <c r="M49" s="22"/>
      <c r="N49" s="22"/>
      <c r="O49" s="22"/>
      <c r="P49" s="22"/>
      <c r="Q49" s="22"/>
      <c r="R49" s="22"/>
      <c r="S49" s="3"/>
      <c r="U49" s="2"/>
      <c r="V49" s="3"/>
      <c r="X49" s="2"/>
    </row>
    <row r="50" spans="1:24" x14ac:dyDescent="0.25">
      <c r="A50" s="37">
        <v>45891</v>
      </c>
      <c r="B50" s="38">
        <v>0.40625</v>
      </c>
      <c r="C50" s="9" t="s">
        <v>129</v>
      </c>
      <c r="D50" s="9" t="s">
        <v>22</v>
      </c>
      <c r="E50" s="9" t="s">
        <v>22</v>
      </c>
      <c r="F50" s="9" t="s">
        <v>22</v>
      </c>
      <c r="G50" s="31">
        <f t="shared" si="3"/>
        <v>3</v>
      </c>
      <c r="H50" s="31">
        <f t="shared" si="4"/>
        <v>3</v>
      </c>
      <c r="I50" s="31">
        <f t="shared" si="5"/>
        <v>3</v>
      </c>
      <c r="J50" s="22"/>
      <c r="K50" s="22"/>
      <c r="L50" s="22"/>
      <c r="M50" s="22"/>
      <c r="N50" s="22"/>
      <c r="O50" s="22"/>
      <c r="P50" s="22"/>
      <c r="Q50" s="22"/>
      <c r="R50" s="22"/>
      <c r="S50" s="3"/>
      <c r="U50" s="2"/>
      <c r="V50" s="3"/>
      <c r="X50" s="2"/>
    </row>
    <row r="51" spans="1:24" x14ac:dyDescent="0.25">
      <c r="A51" s="37">
        <v>45894</v>
      </c>
      <c r="B51" s="38">
        <v>0.48125000000000001</v>
      </c>
      <c r="C51" s="9" t="s">
        <v>147</v>
      </c>
      <c r="D51" s="9" t="s">
        <v>57</v>
      </c>
      <c r="E51" s="9" t="s">
        <v>57</v>
      </c>
      <c r="F51" s="9" t="s">
        <v>57</v>
      </c>
      <c r="G51" s="31">
        <f t="shared" si="3"/>
        <v>3</v>
      </c>
      <c r="H51" s="31">
        <f t="shared" si="4"/>
        <v>3</v>
      </c>
      <c r="I51" s="31">
        <f t="shared" si="5"/>
        <v>3</v>
      </c>
      <c r="J51" s="22"/>
      <c r="K51" s="22"/>
      <c r="L51" s="22"/>
      <c r="M51" s="22"/>
      <c r="N51" s="22"/>
      <c r="O51" s="22"/>
      <c r="P51" s="22"/>
      <c r="Q51" s="22"/>
      <c r="R51" s="22"/>
      <c r="S51" s="3"/>
      <c r="U51" s="2"/>
      <c r="V51" s="3"/>
      <c r="X51" s="2"/>
    </row>
    <row r="52" spans="1:24" x14ac:dyDescent="0.25">
      <c r="A52" s="37">
        <f>A51</f>
        <v>45894</v>
      </c>
      <c r="B52" s="38">
        <v>0.51180555555555551</v>
      </c>
      <c r="C52" s="9" t="s">
        <v>148</v>
      </c>
      <c r="D52" s="9" t="s">
        <v>22</v>
      </c>
      <c r="E52" s="9" t="s">
        <v>22</v>
      </c>
      <c r="F52" s="9" t="s">
        <v>57</v>
      </c>
      <c r="G52" s="31">
        <f t="shared" si="3"/>
        <v>0</v>
      </c>
      <c r="H52" s="31">
        <f t="shared" si="4"/>
        <v>0</v>
      </c>
      <c r="I52" s="31">
        <f t="shared" si="5"/>
        <v>0</v>
      </c>
      <c r="J52" s="22"/>
      <c r="K52" s="22"/>
      <c r="L52" s="22"/>
      <c r="M52" s="22"/>
      <c r="N52" s="22"/>
      <c r="O52" s="22"/>
      <c r="P52" s="22"/>
      <c r="Q52" s="22"/>
      <c r="R52" s="22"/>
      <c r="S52" s="3"/>
      <c r="U52" s="2"/>
      <c r="V52" s="3"/>
      <c r="X52" s="2"/>
    </row>
    <row r="53" spans="1:24" x14ac:dyDescent="0.25">
      <c r="A53" s="37">
        <v>45896</v>
      </c>
      <c r="B53" s="38">
        <v>0.42638888888888887</v>
      </c>
      <c r="C53" s="9" t="s">
        <v>71</v>
      </c>
      <c r="D53" s="9" t="s">
        <v>57</v>
      </c>
      <c r="E53" s="9" t="s">
        <v>57</v>
      </c>
      <c r="F53" s="9" t="s">
        <v>57</v>
      </c>
      <c r="G53" s="31">
        <f t="shared" si="3"/>
        <v>2</v>
      </c>
      <c r="H53" s="31">
        <f t="shared" si="4"/>
        <v>2</v>
      </c>
      <c r="I53" s="31">
        <f t="shared" si="5"/>
        <v>0</v>
      </c>
      <c r="J53" s="22"/>
      <c r="K53" s="22"/>
      <c r="L53" s="22"/>
      <c r="M53" s="22"/>
      <c r="N53" s="22"/>
      <c r="O53" s="22"/>
      <c r="P53" s="22"/>
      <c r="Q53" s="22"/>
      <c r="R53" s="22"/>
      <c r="S53" s="3"/>
      <c r="U53" s="2"/>
      <c r="V53" s="3"/>
      <c r="X53" s="2"/>
    </row>
    <row r="54" spans="1:24" x14ac:dyDescent="0.25">
      <c r="A54" s="37">
        <f>A53</f>
        <v>45896</v>
      </c>
      <c r="B54" s="38"/>
      <c r="C54" s="9" t="s">
        <v>149</v>
      </c>
      <c r="D54" s="9" t="s">
        <v>57</v>
      </c>
      <c r="E54" s="9" t="s">
        <v>57</v>
      </c>
      <c r="F54" s="9" t="s">
        <v>57</v>
      </c>
      <c r="G54" s="31">
        <f t="shared" si="3"/>
        <v>0</v>
      </c>
      <c r="H54" s="31">
        <f t="shared" si="4"/>
        <v>0</v>
      </c>
      <c r="I54" s="31">
        <f t="shared" si="5"/>
        <v>0</v>
      </c>
      <c r="J54" s="22"/>
      <c r="K54" s="22"/>
      <c r="L54" s="22"/>
      <c r="M54" s="22"/>
      <c r="N54" s="22"/>
      <c r="O54" s="22"/>
      <c r="P54" s="22"/>
      <c r="Q54" s="22"/>
      <c r="R54" s="22"/>
      <c r="S54" s="3"/>
      <c r="U54" s="2"/>
      <c r="V54" s="3"/>
      <c r="X54" s="2"/>
    </row>
    <row r="55" spans="1:24" x14ac:dyDescent="0.25">
      <c r="A55" s="37">
        <v>45930</v>
      </c>
      <c r="B55" s="38">
        <v>0.56944444444444442</v>
      </c>
      <c r="C55" s="9" t="s">
        <v>150</v>
      </c>
      <c r="D55" s="9" t="s">
        <v>57</v>
      </c>
      <c r="E55" s="9" t="s">
        <v>57</v>
      </c>
      <c r="F55" s="9" t="s">
        <v>57</v>
      </c>
      <c r="G55" s="31">
        <f t="shared" si="3"/>
        <v>0</v>
      </c>
      <c r="H55" s="31">
        <f t="shared" si="4"/>
        <v>0</v>
      </c>
      <c r="I55" s="31">
        <f t="shared" si="5"/>
        <v>0</v>
      </c>
      <c r="J55" s="22"/>
      <c r="K55" s="22"/>
      <c r="L55" s="22"/>
      <c r="M55" s="22"/>
      <c r="N55" s="22"/>
      <c r="O55" s="22"/>
      <c r="P55" s="22"/>
      <c r="Q55" s="22"/>
      <c r="R55" s="22"/>
      <c r="S55" s="3"/>
      <c r="U55" s="2"/>
      <c r="V55" s="3"/>
      <c r="X55" s="2"/>
    </row>
    <row r="56" spans="1:24" x14ac:dyDescent="0.25">
      <c r="A56" s="7"/>
      <c r="B56" s="39"/>
      <c r="C56" s="9"/>
      <c r="D56" s="9"/>
      <c r="E56" s="9"/>
      <c r="F56" s="9"/>
      <c r="G56" s="32"/>
      <c r="H56" s="32"/>
      <c r="I56" s="22"/>
      <c r="J56" s="22"/>
      <c r="K56" s="22"/>
      <c r="L56" s="22"/>
      <c r="M56" s="22"/>
      <c r="N56" s="22"/>
      <c r="O56" s="22"/>
      <c r="P56" s="22"/>
      <c r="Q56" s="22"/>
      <c r="R56" s="22"/>
      <c r="S56" s="3"/>
      <c r="U56" s="2"/>
      <c r="V56" s="3"/>
      <c r="X56" s="2"/>
    </row>
    <row r="57" spans="1:24" x14ac:dyDescent="0.25">
      <c r="A57" s="15"/>
      <c r="B57" s="39"/>
      <c r="C57" s="9"/>
      <c r="D57" s="9"/>
      <c r="E57" s="9"/>
      <c r="F57" s="33" t="s">
        <v>72</v>
      </c>
      <c r="G57" s="32">
        <f>SUM(G6:G55)*24</f>
        <v>1248</v>
      </c>
      <c r="H57" s="32">
        <f t="shared" ref="H57:I57" si="7">SUM(H6:H55)*24</f>
        <v>1248</v>
      </c>
      <c r="I57" s="32">
        <f t="shared" si="7"/>
        <v>1128</v>
      </c>
      <c r="J57" s="22"/>
      <c r="K57" s="22"/>
      <c r="L57" s="22"/>
      <c r="M57" s="22"/>
      <c r="N57" s="22"/>
      <c r="O57" s="22"/>
      <c r="P57" s="22"/>
      <c r="Q57" s="22"/>
      <c r="R57" s="22"/>
      <c r="S57" s="3"/>
      <c r="U57" s="2"/>
      <c r="V57" s="3"/>
      <c r="X57" s="2"/>
    </row>
    <row r="58" spans="1:24" x14ac:dyDescent="0.25">
      <c r="A58" s="7"/>
      <c r="B58" s="39"/>
      <c r="C58" s="9"/>
      <c r="D58" s="9"/>
      <c r="E58" s="9"/>
      <c r="F58" s="33" t="s">
        <v>73</v>
      </c>
      <c r="G58" s="32">
        <f>G57*60*60/$B2</f>
        <v>395492.9577464789</v>
      </c>
      <c r="H58" s="32">
        <f>H57*60*60/$B2</f>
        <v>395492.9577464789</v>
      </c>
      <c r="I58" s="32">
        <f>I57*60*60/$B2</f>
        <v>357464.7887323944</v>
      </c>
      <c r="J58" s="22"/>
      <c r="K58" s="22"/>
      <c r="L58" s="22"/>
      <c r="M58" s="22"/>
      <c r="N58" s="22"/>
      <c r="O58" s="22"/>
      <c r="P58" s="22"/>
      <c r="Q58" s="22"/>
      <c r="R58" s="22"/>
      <c r="S58" s="3"/>
      <c r="U58" s="2"/>
      <c r="V58" s="3"/>
      <c r="X58" s="2"/>
    </row>
    <row r="59" spans="1:24" x14ac:dyDescent="0.25">
      <c r="A59" s="15"/>
      <c r="B59" s="39"/>
      <c r="C59" s="9"/>
      <c r="D59" s="34"/>
      <c r="E59" s="34"/>
      <c r="F59" s="35" t="s">
        <v>74</v>
      </c>
      <c r="G59" s="36">
        <f>G58*$B3/1000000</f>
        <v>387.58309859154934</v>
      </c>
      <c r="H59" s="36">
        <f>H58*$B3/1000000</f>
        <v>387.58309859154934</v>
      </c>
      <c r="I59" s="36">
        <f>I58*$B3/1000000</f>
        <v>350.31549295774653</v>
      </c>
      <c r="J59" s="22"/>
      <c r="K59" s="22"/>
      <c r="L59" s="22"/>
      <c r="M59" s="22"/>
      <c r="N59" s="22"/>
      <c r="O59" s="22"/>
      <c r="P59" s="22"/>
      <c r="Q59" s="22"/>
      <c r="R59" s="22"/>
      <c r="S59" s="3"/>
      <c r="U59" s="2"/>
      <c r="V59" s="3"/>
      <c r="X59" s="2"/>
    </row>
    <row r="60" spans="1:24" x14ac:dyDescent="0.25">
      <c r="A60" s="15">
        <v>45940</v>
      </c>
      <c r="B60" s="19">
        <v>0.50694444444444442</v>
      </c>
      <c r="C60" s="9" t="s">
        <v>151</v>
      </c>
      <c r="D60" s="9"/>
      <c r="E60" s="9"/>
      <c r="F60" s="9"/>
      <c r="G60" s="32"/>
      <c r="H60" s="32"/>
      <c r="I60" s="22"/>
      <c r="J60" s="22"/>
      <c r="K60" s="22"/>
      <c r="L60" s="22"/>
      <c r="M60" s="22"/>
      <c r="N60" s="22"/>
      <c r="O60" s="22"/>
      <c r="P60" s="22"/>
      <c r="Q60" s="22"/>
      <c r="R60" s="22"/>
      <c r="S60" s="3"/>
      <c r="U60" s="2"/>
      <c r="V60" s="3"/>
      <c r="X60" s="2"/>
    </row>
    <row r="61" spans="1:24" ht="30" x14ac:dyDescent="0.25">
      <c r="A61" s="15">
        <v>45946</v>
      </c>
      <c r="B61" s="19">
        <v>0.60555555555555551</v>
      </c>
      <c r="C61" s="9" t="s">
        <v>152</v>
      </c>
      <c r="D61" s="9"/>
      <c r="E61" s="9"/>
      <c r="F61" s="9"/>
      <c r="G61" s="32"/>
      <c r="H61" s="32"/>
      <c r="I61" s="22"/>
      <c r="J61" s="22"/>
      <c r="K61" s="22"/>
      <c r="L61" s="22"/>
      <c r="M61" s="22"/>
      <c r="N61" s="22"/>
      <c r="O61" s="22"/>
      <c r="P61" s="22"/>
      <c r="Q61" s="22"/>
      <c r="R61" s="22"/>
      <c r="S61" s="3"/>
      <c r="U61" s="2"/>
      <c r="V61" s="3"/>
      <c r="X61" s="2"/>
    </row>
    <row r="62" spans="1:24" ht="30" x14ac:dyDescent="0.25">
      <c r="A62" s="15">
        <v>45950</v>
      </c>
      <c r="B62" s="19">
        <v>0.30138888888888887</v>
      </c>
      <c r="C62" s="9" t="s">
        <v>153</v>
      </c>
      <c r="D62" s="9"/>
      <c r="E62" s="9"/>
      <c r="F62" s="9"/>
      <c r="G62" s="32"/>
      <c r="H62" s="32"/>
      <c r="I62" s="22"/>
      <c r="J62" s="22"/>
      <c r="K62" s="22"/>
      <c r="L62" s="22"/>
      <c r="M62" s="22"/>
      <c r="N62" s="22"/>
      <c r="O62" s="22"/>
      <c r="P62" s="22"/>
      <c r="Q62" s="22"/>
      <c r="R62" s="22"/>
      <c r="S62" s="3"/>
      <c r="U62" s="2"/>
      <c r="V62" s="3"/>
      <c r="X62" s="2"/>
    </row>
    <row r="63" spans="1:24" x14ac:dyDescent="0.25">
      <c r="A63" s="15">
        <v>45950</v>
      </c>
      <c r="B63" s="19">
        <v>0.33333333333333331</v>
      </c>
      <c r="C63" s="9" t="s">
        <v>154</v>
      </c>
      <c r="D63" s="9"/>
      <c r="E63" s="9"/>
      <c r="F63" s="9"/>
      <c r="G63" s="32"/>
      <c r="H63" s="32"/>
      <c r="I63" s="22"/>
      <c r="J63" s="22"/>
      <c r="K63" s="22"/>
      <c r="L63" s="22"/>
      <c r="M63" s="22"/>
      <c r="N63" s="22"/>
      <c r="O63" s="22"/>
      <c r="P63" s="22"/>
      <c r="Q63" s="22"/>
      <c r="R63" s="22"/>
      <c r="S63" s="3"/>
      <c r="U63" s="2"/>
      <c r="V63" s="3"/>
      <c r="X63" s="2"/>
    </row>
    <row r="64" spans="1:24" x14ac:dyDescent="0.25">
      <c r="A64" s="15">
        <v>45954</v>
      </c>
      <c r="B64" s="19">
        <v>0.32569444444444445</v>
      </c>
      <c r="C64" s="9" t="s">
        <v>155</v>
      </c>
      <c r="D64" s="9"/>
      <c r="E64" s="9"/>
      <c r="F64" s="9"/>
      <c r="G64" s="32"/>
      <c r="H64" s="32"/>
      <c r="I64" s="22"/>
      <c r="J64" s="22"/>
      <c r="K64" s="22"/>
      <c r="L64" s="22"/>
      <c r="M64" s="22"/>
      <c r="N64" s="22"/>
      <c r="O64" s="22"/>
      <c r="P64" s="22"/>
      <c r="Q64" s="22"/>
      <c r="R64" s="22"/>
      <c r="S64" s="3"/>
      <c r="U64" s="2"/>
      <c r="V64" s="3"/>
      <c r="X64" s="2"/>
    </row>
    <row r="65" spans="1:24" x14ac:dyDescent="0.25">
      <c r="A65" s="7"/>
      <c r="B65" s="19"/>
      <c r="C65" s="9"/>
      <c r="D65" s="9"/>
      <c r="E65" s="9"/>
      <c r="F65" s="9"/>
      <c r="G65" s="32"/>
      <c r="H65" s="32"/>
      <c r="I65" s="22"/>
      <c r="J65" s="22"/>
      <c r="K65" s="22"/>
      <c r="L65" s="22"/>
      <c r="M65" s="22"/>
      <c r="N65" s="22"/>
      <c r="O65" s="22"/>
      <c r="P65" s="22"/>
      <c r="Q65" s="22"/>
      <c r="R65" s="22"/>
      <c r="S65" s="3"/>
      <c r="U65" s="2"/>
      <c r="V65" s="3"/>
      <c r="X65" s="2"/>
    </row>
    <row r="66" spans="1:24" x14ac:dyDescent="0.25">
      <c r="A66" s="15">
        <v>45957</v>
      </c>
      <c r="B66" s="19">
        <v>0.30694444444444446</v>
      </c>
      <c r="C66" s="9" t="s">
        <v>156</v>
      </c>
      <c r="D66" s="9"/>
      <c r="E66" s="9"/>
      <c r="F66" s="9"/>
      <c r="G66" s="32"/>
      <c r="H66" s="32"/>
      <c r="I66" s="22"/>
      <c r="J66" s="22"/>
      <c r="K66" s="22"/>
      <c r="L66" s="22"/>
      <c r="M66" s="22"/>
      <c r="N66" s="22"/>
      <c r="O66" s="22"/>
      <c r="P66" s="22"/>
      <c r="Q66" s="22"/>
      <c r="R66" s="22"/>
      <c r="S66" s="3"/>
      <c r="U66" s="2"/>
      <c r="V66" s="3"/>
      <c r="X66" s="2"/>
    </row>
    <row r="67" spans="1:24" x14ac:dyDescent="0.25">
      <c r="A67" s="15"/>
      <c r="B67" s="19">
        <v>0.31527777777777777</v>
      </c>
      <c r="C67" s="9" t="s">
        <v>157</v>
      </c>
      <c r="D67" s="9"/>
      <c r="E67" s="9"/>
      <c r="F67" s="9"/>
      <c r="G67" s="32"/>
      <c r="H67" s="32"/>
      <c r="I67" s="3"/>
      <c r="J67" s="22"/>
      <c r="K67" s="22"/>
      <c r="L67" s="22"/>
      <c r="M67" s="22"/>
      <c r="N67" s="22"/>
      <c r="O67" s="22"/>
      <c r="P67" s="22"/>
      <c r="Q67" s="22"/>
      <c r="R67" s="22"/>
      <c r="S67" s="3"/>
      <c r="U67" s="2"/>
      <c r="V67" s="3"/>
      <c r="X67" s="2"/>
    </row>
    <row r="68" spans="1:24" x14ac:dyDescent="0.25">
      <c r="A68" s="7"/>
      <c r="B68" s="19">
        <v>0.35138888888888886</v>
      </c>
      <c r="C68" s="9" t="s">
        <v>158</v>
      </c>
      <c r="D68" s="9"/>
      <c r="E68" s="9"/>
      <c r="F68" s="9"/>
      <c r="G68" s="32"/>
      <c r="H68" s="32"/>
      <c r="I68" s="3"/>
      <c r="J68" s="22"/>
      <c r="K68" s="22"/>
      <c r="L68" s="22"/>
      <c r="M68" s="22"/>
      <c r="N68" s="22"/>
      <c r="O68" s="22"/>
      <c r="P68" s="22"/>
      <c r="Q68" s="22"/>
      <c r="R68" s="22"/>
      <c r="S68" s="3"/>
      <c r="U68" s="2"/>
      <c r="V68" s="3"/>
      <c r="X68" s="2"/>
    </row>
    <row r="69" spans="1:24" x14ac:dyDescent="0.25">
      <c r="A69" s="15"/>
      <c r="B69" s="19">
        <v>0.35972222222222222</v>
      </c>
      <c r="C69" s="9" t="s">
        <v>159</v>
      </c>
      <c r="D69" s="9"/>
      <c r="E69" s="9"/>
      <c r="F69" s="9"/>
      <c r="G69" s="32"/>
      <c r="H69" s="32"/>
      <c r="I69" s="22"/>
      <c r="J69" s="22"/>
      <c r="K69" s="22"/>
      <c r="L69" s="22"/>
      <c r="M69" s="22"/>
      <c r="N69" s="22"/>
      <c r="O69" s="22"/>
      <c r="P69" s="22"/>
      <c r="Q69" s="22"/>
      <c r="R69" s="22"/>
      <c r="S69" s="3"/>
      <c r="U69" s="2"/>
      <c r="V69" s="3"/>
      <c r="X69" s="2"/>
    </row>
    <row r="70" spans="1:24" x14ac:dyDescent="0.25">
      <c r="A70" s="15">
        <v>45959</v>
      </c>
      <c r="B70" s="19">
        <v>0.59791666666666665</v>
      </c>
      <c r="C70" s="9" t="s">
        <v>160</v>
      </c>
      <c r="D70" s="9"/>
      <c r="E70" s="9"/>
      <c r="F70" s="9"/>
      <c r="G70" s="32"/>
      <c r="H70" s="32"/>
      <c r="I70" s="22"/>
      <c r="J70" s="22"/>
      <c r="K70" s="22"/>
      <c r="L70" s="22"/>
      <c r="M70" s="22"/>
      <c r="N70" s="22"/>
      <c r="O70" s="22"/>
      <c r="P70" s="22"/>
      <c r="Q70" s="22"/>
      <c r="R70" s="22"/>
      <c r="S70" s="3"/>
      <c r="U70" s="2"/>
      <c r="V70" s="3"/>
      <c r="X70" s="2"/>
    </row>
    <row r="71" spans="1:24" x14ac:dyDescent="0.25">
      <c r="A71" s="7"/>
      <c r="B71" s="19">
        <v>0.60972222222222228</v>
      </c>
      <c r="C71" s="9" t="s">
        <v>34</v>
      </c>
      <c r="D71" s="9"/>
      <c r="E71" s="9"/>
      <c r="F71" s="9"/>
      <c r="G71" s="32"/>
      <c r="H71" s="32"/>
      <c r="I71" s="22"/>
      <c r="J71" s="22"/>
      <c r="K71" s="22"/>
      <c r="L71" s="22"/>
      <c r="M71" s="22"/>
      <c r="N71" s="22"/>
      <c r="O71" s="22"/>
      <c r="P71" s="22"/>
      <c r="Q71" s="22"/>
      <c r="R71" s="22"/>
      <c r="S71" s="3"/>
      <c r="U71" s="2"/>
      <c r="V71" s="3"/>
      <c r="X71" s="2"/>
    </row>
    <row r="72" spans="1:24" x14ac:dyDescent="0.25">
      <c r="A72" s="15"/>
      <c r="B72" s="19"/>
      <c r="C72" s="9"/>
      <c r="D72" s="9"/>
      <c r="E72" s="9"/>
      <c r="F72" s="9"/>
      <c r="G72" s="32"/>
      <c r="H72" s="32"/>
      <c r="I72" s="22"/>
      <c r="J72" s="22"/>
      <c r="K72" s="22"/>
      <c r="L72" s="22"/>
      <c r="M72" s="22"/>
      <c r="N72" s="22"/>
      <c r="O72" s="22"/>
      <c r="P72" s="22"/>
      <c r="Q72" s="22"/>
      <c r="R72" s="22"/>
      <c r="S72" s="3"/>
      <c r="U72" s="2"/>
      <c r="V72" s="3"/>
      <c r="X72" s="2"/>
    </row>
    <row r="73" spans="1:24" ht="30" x14ac:dyDescent="0.25">
      <c r="A73" s="15">
        <v>45972</v>
      </c>
      <c r="B73" s="19">
        <v>0.58333333333333337</v>
      </c>
      <c r="C73" s="9" t="s">
        <v>161</v>
      </c>
      <c r="D73" s="9"/>
      <c r="E73" s="9"/>
      <c r="F73" s="9"/>
      <c r="G73" s="32"/>
      <c r="H73" s="32"/>
      <c r="I73" s="22"/>
      <c r="J73" s="22"/>
      <c r="K73" s="22"/>
      <c r="L73" s="22"/>
      <c r="M73" s="22"/>
      <c r="N73" s="22"/>
      <c r="O73" s="22"/>
      <c r="P73" s="22"/>
      <c r="Q73" s="22"/>
      <c r="R73" s="22"/>
      <c r="S73" s="3"/>
      <c r="U73" s="2"/>
      <c r="V73" s="3"/>
      <c r="X73" s="2"/>
    </row>
    <row r="74" spans="1:24" x14ac:dyDescent="0.25">
      <c r="A74" s="15">
        <v>45973</v>
      </c>
      <c r="B74" s="19">
        <v>0.33333333333333331</v>
      </c>
      <c r="C74" s="9" t="s">
        <v>162</v>
      </c>
      <c r="D74" s="9"/>
      <c r="E74" s="9"/>
      <c r="F74" s="9"/>
      <c r="G74" s="32"/>
      <c r="H74" s="32"/>
      <c r="I74" s="22"/>
      <c r="J74" s="22"/>
      <c r="K74" s="22"/>
      <c r="L74" s="22"/>
      <c r="M74" s="22"/>
      <c r="N74" s="22"/>
      <c r="O74" s="22"/>
      <c r="P74" s="22"/>
      <c r="Q74" s="22"/>
      <c r="R74" s="22"/>
      <c r="S74" s="3"/>
      <c r="U74" s="2"/>
      <c r="V74" s="3"/>
      <c r="X74" s="2"/>
    </row>
    <row r="75" spans="1:24" x14ac:dyDescent="0.25">
      <c r="A75" s="15">
        <v>45979</v>
      </c>
      <c r="B75" s="19">
        <v>0.66527777777777775</v>
      </c>
      <c r="C75" s="9" t="s">
        <v>163</v>
      </c>
      <c r="D75" s="9"/>
      <c r="E75" s="9"/>
      <c r="F75" s="9"/>
      <c r="G75" s="32"/>
      <c r="H75" s="32"/>
      <c r="I75" s="22"/>
      <c r="J75" s="22"/>
      <c r="K75" s="22"/>
      <c r="L75" s="22"/>
      <c r="M75" s="22"/>
      <c r="N75" s="22"/>
      <c r="O75" s="22"/>
      <c r="P75" s="22"/>
      <c r="Q75" s="22"/>
      <c r="R75" s="22"/>
      <c r="S75" s="3"/>
      <c r="U75" s="2"/>
      <c r="V75" s="3"/>
      <c r="X75" s="2"/>
    </row>
    <row r="76" spans="1:24" x14ac:dyDescent="0.25">
      <c r="A76" s="15">
        <v>45980</v>
      </c>
      <c r="B76" s="19">
        <v>0.62847222222222221</v>
      </c>
      <c r="C76" s="9" t="s">
        <v>164</v>
      </c>
      <c r="D76" s="9"/>
      <c r="E76" s="9"/>
      <c r="F76" s="9"/>
      <c r="G76" s="32"/>
      <c r="H76" s="32"/>
      <c r="I76" s="3"/>
      <c r="J76" s="3"/>
      <c r="K76" s="3"/>
      <c r="L76" s="3"/>
      <c r="M76" s="3"/>
      <c r="N76" s="3"/>
      <c r="O76" s="3"/>
      <c r="P76" s="3"/>
      <c r="Q76" s="3"/>
      <c r="R76" s="3"/>
      <c r="S76" s="3"/>
      <c r="U76" s="2"/>
      <c r="V76" s="3"/>
      <c r="X76" s="2"/>
    </row>
    <row r="77" spans="1:24" x14ac:dyDescent="0.25">
      <c r="A77" s="15">
        <v>45983</v>
      </c>
      <c r="B77" s="19">
        <v>0.77222222222222225</v>
      </c>
      <c r="C77" s="9" t="s">
        <v>165</v>
      </c>
      <c r="D77" s="9"/>
      <c r="E77" s="9"/>
      <c r="F77" s="9"/>
      <c r="G77" s="32"/>
      <c r="H77" s="32"/>
      <c r="I77" s="3"/>
      <c r="J77" s="3"/>
      <c r="K77" s="3"/>
      <c r="L77" s="3"/>
      <c r="M77" s="3"/>
      <c r="N77" s="3"/>
      <c r="O77" s="3"/>
      <c r="P77" s="3"/>
      <c r="Q77" s="3"/>
      <c r="R77" s="3"/>
      <c r="S77" s="3"/>
      <c r="U77" s="2"/>
      <c r="V77" s="3"/>
      <c r="X77" s="2"/>
    </row>
    <row r="78" spans="1:24" x14ac:dyDescent="0.25">
      <c r="A78" s="15">
        <v>45985</v>
      </c>
      <c r="B78" s="19">
        <v>0.47499999999999998</v>
      </c>
      <c r="C78" s="9" t="s">
        <v>166</v>
      </c>
      <c r="D78" s="9"/>
      <c r="E78" s="9"/>
      <c r="F78" s="9"/>
      <c r="G78" s="32"/>
      <c r="H78" s="32"/>
      <c r="I78" s="3"/>
      <c r="J78" s="22"/>
      <c r="K78" s="22"/>
      <c r="L78" s="22"/>
      <c r="M78" s="22"/>
      <c r="N78" s="22"/>
      <c r="O78" s="22"/>
      <c r="P78" s="22"/>
      <c r="Q78" s="22"/>
      <c r="R78" s="22"/>
      <c r="S78" s="3"/>
      <c r="U78" s="2"/>
      <c r="V78" s="3"/>
      <c r="X78" s="2"/>
    </row>
    <row r="79" spans="1:24" ht="30" x14ac:dyDescent="0.25">
      <c r="A79" s="15">
        <v>45992</v>
      </c>
      <c r="B79" s="19">
        <v>6.1805555555555558E-2</v>
      </c>
      <c r="C79" s="9" t="s">
        <v>167</v>
      </c>
      <c r="D79" s="9"/>
      <c r="E79" s="9"/>
      <c r="F79" s="9"/>
      <c r="G79" s="32"/>
      <c r="H79" s="32"/>
      <c r="I79" s="3"/>
      <c r="J79" s="22"/>
      <c r="K79" s="22"/>
      <c r="L79" s="22"/>
      <c r="M79" s="22"/>
      <c r="N79" s="22"/>
      <c r="O79" s="22"/>
      <c r="P79" s="22"/>
      <c r="Q79" s="22"/>
      <c r="R79" s="22"/>
      <c r="S79" s="3"/>
      <c r="U79" s="2"/>
      <c r="V79" s="3"/>
      <c r="X79" s="2"/>
    </row>
    <row r="80" spans="1:24" x14ac:dyDescent="0.25">
      <c r="A80" s="15">
        <v>45992</v>
      </c>
      <c r="B80" s="19">
        <v>0.32291666666666669</v>
      </c>
      <c r="C80" s="9" t="s">
        <v>168</v>
      </c>
      <c r="D80" s="9"/>
      <c r="E80" s="9"/>
      <c r="F80" s="9"/>
      <c r="G80" s="32"/>
      <c r="H80" s="32"/>
      <c r="I80" s="3"/>
      <c r="J80" s="22"/>
      <c r="K80" s="22"/>
      <c r="L80" s="22"/>
      <c r="M80" s="22"/>
      <c r="N80" s="22"/>
      <c r="O80" s="22"/>
      <c r="P80" s="22"/>
      <c r="Q80" s="22"/>
      <c r="R80" s="22"/>
      <c r="S80" s="3"/>
      <c r="U80" s="2"/>
      <c r="V80" s="3"/>
      <c r="X80" s="2"/>
    </row>
    <row r="81" spans="1:24" ht="30" x14ac:dyDescent="0.25">
      <c r="A81" s="15">
        <v>45992</v>
      </c>
      <c r="B81" s="19">
        <v>0.58333333333333337</v>
      </c>
      <c r="C81" s="9" t="s">
        <v>169</v>
      </c>
      <c r="D81" s="9"/>
      <c r="E81" s="9"/>
      <c r="F81" s="9"/>
      <c r="G81" s="32"/>
      <c r="H81" s="32"/>
      <c r="I81" s="3"/>
      <c r="J81" s="22"/>
      <c r="K81" s="22"/>
      <c r="L81" s="22"/>
      <c r="M81" s="22"/>
      <c r="N81" s="22"/>
      <c r="O81" s="22"/>
      <c r="P81" s="22"/>
      <c r="Q81" s="22"/>
      <c r="R81" s="22"/>
      <c r="S81" s="3"/>
      <c r="U81" s="2"/>
      <c r="V81" s="3"/>
      <c r="X81" s="2"/>
    </row>
    <row r="82" spans="1:24" ht="45" x14ac:dyDescent="0.25">
      <c r="A82" s="41">
        <v>45995</v>
      </c>
      <c r="B82" s="19">
        <v>0.54166666666666663</v>
      </c>
      <c r="C82" s="9" t="s">
        <v>170</v>
      </c>
      <c r="D82" s="9"/>
      <c r="E82" s="9"/>
      <c r="F82" s="9"/>
      <c r="G82" s="32"/>
      <c r="H82" s="32"/>
      <c r="I82" s="3"/>
      <c r="J82" s="22"/>
      <c r="K82" s="22"/>
      <c r="L82" s="22"/>
      <c r="M82" s="22"/>
      <c r="N82" s="22"/>
      <c r="O82" s="22"/>
      <c r="P82" s="22"/>
      <c r="Q82" s="22"/>
      <c r="R82" s="22"/>
      <c r="S82" s="3"/>
      <c r="U82" s="2"/>
      <c r="V82" s="3"/>
      <c r="X82" s="2"/>
    </row>
    <row r="83" spans="1:24" x14ac:dyDescent="0.25">
      <c r="A83" s="41">
        <v>45995</v>
      </c>
      <c r="B83" s="19">
        <v>0.61944444444444446</v>
      </c>
      <c r="C83" s="9" t="s">
        <v>171</v>
      </c>
      <c r="D83" s="9"/>
      <c r="E83" s="9"/>
      <c r="F83" s="9"/>
      <c r="G83" s="32"/>
      <c r="H83" s="32"/>
      <c r="I83" s="3"/>
      <c r="J83" s="22"/>
      <c r="K83" s="22"/>
      <c r="L83" s="22"/>
      <c r="M83" s="22"/>
      <c r="N83" s="22"/>
      <c r="O83" s="22"/>
      <c r="P83" s="22"/>
      <c r="Q83" s="22"/>
      <c r="R83" s="22"/>
      <c r="S83" s="3"/>
      <c r="U83" s="2"/>
      <c r="V83" s="3"/>
      <c r="X83" s="2"/>
    </row>
    <row r="84" spans="1:24" x14ac:dyDescent="0.25">
      <c r="A84" s="15">
        <v>45995</v>
      </c>
      <c r="B84" s="19">
        <v>0.94305555555555554</v>
      </c>
      <c r="C84" s="9" t="s">
        <v>172</v>
      </c>
      <c r="D84" s="9"/>
      <c r="E84" s="9"/>
      <c r="F84" s="9"/>
      <c r="G84" s="32"/>
      <c r="H84" s="32"/>
      <c r="I84" s="3"/>
      <c r="J84" s="22"/>
      <c r="K84" s="22"/>
      <c r="L84" s="22"/>
      <c r="M84" s="22"/>
      <c r="N84" s="22"/>
      <c r="O84" s="22"/>
      <c r="P84" s="22"/>
      <c r="Q84" s="22"/>
      <c r="R84" s="22"/>
      <c r="S84" s="3"/>
      <c r="U84" s="2"/>
      <c r="V84" s="3"/>
      <c r="X84" s="2"/>
    </row>
    <row r="85" spans="1:24" x14ac:dyDescent="0.25">
      <c r="A85" s="15">
        <v>45996</v>
      </c>
      <c r="B85" s="19">
        <v>0.31458333333333333</v>
      </c>
      <c r="C85" s="9" t="s">
        <v>173</v>
      </c>
      <c r="D85" s="9"/>
      <c r="E85" s="9"/>
      <c r="F85" s="9"/>
      <c r="G85" s="32"/>
      <c r="H85" s="32"/>
      <c r="I85" s="3"/>
      <c r="J85" s="3"/>
      <c r="K85" s="3"/>
      <c r="L85" s="3"/>
      <c r="M85" s="3"/>
      <c r="N85" s="3"/>
      <c r="O85" s="3"/>
      <c r="P85" s="3"/>
      <c r="Q85" s="3"/>
      <c r="R85" s="3"/>
      <c r="S85" s="3"/>
      <c r="U85" s="2"/>
      <c r="V85" s="3"/>
      <c r="X85" s="2"/>
    </row>
    <row r="86" spans="1:24" x14ac:dyDescent="0.25">
      <c r="A86" s="15">
        <v>46000</v>
      </c>
      <c r="B86" s="19">
        <v>0.92013888888888884</v>
      </c>
      <c r="C86" s="9" t="s">
        <v>174</v>
      </c>
      <c r="D86" s="9"/>
      <c r="E86" s="9"/>
      <c r="F86" s="9"/>
      <c r="G86" s="32"/>
      <c r="H86" s="32"/>
      <c r="I86" s="3"/>
      <c r="J86" s="3"/>
      <c r="K86" s="3"/>
      <c r="L86" s="3"/>
      <c r="M86" s="3"/>
      <c r="N86" s="3"/>
      <c r="O86" s="3"/>
      <c r="P86" s="3"/>
      <c r="Q86" s="3"/>
      <c r="R86" s="3"/>
      <c r="S86" s="3"/>
      <c r="U86" s="2"/>
      <c r="V86" s="3"/>
      <c r="X86" s="2"/>
    </row>
    <row r="87" spans="1:24" x14ac:dyDescent="0.25">
      <c r="A87" s="15">
        <v>46001</v>
      </c>
      <c r="B87" s="19">
        <v>0.34305555555555556</v>
      </c>
      <c r="C87" s="9" t="s">
        <v>175</v>
      </c>
      <c r="D87" s="9"/>
      <c r="E87" s="9"/>
      <c r="F87" s="9"/>
      <c r="G87" s="32"/>
      <c r="H87" s="32"/>
      <c r="I87" s="3"/>
      <c r="J87" s="3"/>
      <c r="K87" s="3"/>
      <c r="L87" s="3"/>
      <c r="M87" s="3"/>
      <c r="N87" s="3"/>
      <c r="O87" s="3"/>
      <c r="P87" s="3"/>
      <c r="Q87" s="3"/>
      <c r="R87" s="3"/>
      <c r="S87" s="3"/>
      <c r="U87" s="2"/>
      <c r="V87" s="3"/>
      <c r="X87" s="2"/>
    </row>
    <row r="88" spans="1:24" x14ac:dyDescent="0.25">
      <c r="A88" s="15">
        <v>46020</v>
      </c>
      <c r="B88" s="19">
        <v>0.29097222222222224</v>
      </c>
      <c r="C88" s="9" t="s">
        <v>59</v>
      </c>
      <c r="D88" s="9"/>
      <c r="E88" s="9"/>
      <c r="F88" s="9"/>
      <c r="G88" s="32"/>
      <c r="H88" s="32"/>
      <c r="I88" s="3"/>
      <c r="J88" s="3"/>
      <c r="K88" s="3"/>
      <c r="L88" s="3"/>
      <c r="M88" s="3"/>
      <c r="N88" s="3"/>
      <c r="O88" s="3"/>
      <c r="P88" s="3"/>
      <c r="Q88" s="3"/>
      <c r="R88" s="3"/>
      <c r="S88" s="3"/>
      <c r="U88" s="2"/>
      <c r="V88" s="3"/>
      <c r="X88" s="2"/>
    </row>
    <row r="89" spans="1:24" ht="30" x14ac:dyDescent="0.25">
      <c r="A89" s="15">
        <v>46034</v>
      </c>
      <c r="B89" s="19">
        <v>0.64930555555555558</v>
      </c>
      <c r="C89" s="9" t="s">
        <v>176</v>
      </c>
      <c r="D89" s="9"/>
      <c r="E89" s="9"/>
      <c r="F89" s="9"/>
      <c r="G89" s="32"/>
      <c r="H89" s="32"/>
      <c r="I89" s="3"/>
      <c r="J89" s="3"/>
      <c r="K89" s="3"/>
      <c r="L89" s="3"/>
      <c r="M89" s="3"/>
      <c r="N89" s="3"/>
      <c r="O89" s="3"/>
      <c r="P89" s="3"/>
      <c r="Q89" s="3"/>
      <c r="R89" s="3"/>
      <c r="S89" s="3"/>
      <c r="U89" s="2"/>
      <c r="V89" s="3"/>
      <c r="X89" s="2"/>
    </row>
    <row r="90" spans="1:24" x14ac:dyDescent="0.25">
      <c r="A90" s="15">
        <v>46034</v>
      </c>
      <c r="B90" s="19">
        <v>0.67569444444444449</v>
      </c>
      <c r="C90" s="9" t="s">
        <v>177</v>
      </c>
      <c r="D90" s="9"/>
      <c r="E90" s="9"/>
      <c r="F90" s="9"/>
      <c r="G90" s="32"/>
      <c r="H90" s="32"/>
      <c r="I90" s="3"/>
      <c r="J90" s="3"/>
      <c r="K90" s="3"/>
      <c r="L90" s="3"/>
      <c r="M90" s="3"/>
      <c r="N90" s="3"/>
      <c r="O90" s="3"/>
      <c r="P90" s="3"/>
      <c r="Q90" s="3"/>
      <c r="R90" s="3"/>
      <c r="S90" s="3"/>
      <c r="U90" s="2"/>
      <c r="V90" s="3"/>
      <c r="X90" s="2"/>
    </row>
    <row r="91" spans="1:24" ht="30" x14ac:dyDescent="0.25">
      <c r="A91" s="15">
        <v>46034</v>
      </c>
      <c r="B91" s="19">
        <v>0.6875</v>
      </c>
      <c r="C91" s="9" t="s">
        <v>178</v>
      </c>
      <c r="D91" s="9"/>
      <c r="E91" s="9"/>
      <c r="F91" s="9"/>
      <c r="G91" s="32"/>
      <c r="H91" s="32"/>
      <c r="I91" s="3"/>
      <c r="J91" s="3"/>
      <c r="K91" s="3"/>
      <c r="L91" s="3"/>
      <c r="M91" s="3"/>
      <c r="N91" s="3"/>
      <c r="O91" s="3"/>
      <c r="P91" s="3"/>
      <c r="Q91" s="3"/>
      <c r="R91" s="3"/>
      <c r="S91" s="3"/>
      <c r="U91" s="2"/>
      <c r="V91" s="3"/>
      <c r="X91" s="2"/>
    </row>
    <row r="92" spans="1:24" x14ac:dyDescent="0.25">
      <c r="A92" s="15">
        <v>46037</v>
      </c>
      <c r="B92" s="19">
        <v>0.53333333333333333</v>
      </c>
      <c r="C92" s="9" t="s">
        <v>179</v>
      </c>
      <c r="D92" s="9"/>
      <c r="E92" s="9"/>
      <c r="F92" s="9"/>
      <c r="G92" s="32"/>
      <c r="H92" s="32"/>
      <c r="I92" s="3"/>
      <c r="J92" s="3"/>
      <c r="K92" s="3"/>
      <c r="L92" s="3"/>
      <c r="M92" s="3"/>
      <c r="N92" s="3"/>
      <c r="O92" s="3"/>
      <c r="P92" s="3"/>
      <c r="Q92" s="3"/>
      <c r="R92" s="3"/>
      <c r="S92" s="3"/>
      <c r="U92" s="2"/>
      <c r="V92" s="3"/>
      <c r="X92" s="2"/>
    </row>
    <row r="93" spans="1:24" x14ac:dyDescent="0.25">
      <c r="A93" s="15">
        <v>46037</v>
      </c>
      <c r="B93" s="19">
        <v>0.5854166666666667</v>
      </c>
      <c r="C93" s="9" t="s">
        <v>171</v>
      </c>
      <c r="D93" s="9"/>
      <c r="E93" s="9"/>
      <c r="F93" s="9"/>
      <c r="G93" s="32"/>
      <c r="H93" s="32"/>
      <c r="I93" s="3"/>
      <c r="J93" s="3"/>
      <c r="K93" s="3"/>
      <c r="L93" s="3"/>
      <c r="M93" s="3"/>
      <c r="N93" s="3"/>
      <c r="O93" s="3"/>
      <c r="P93" s="3"/>
      <c r="Q93" s="3"/>
      <c r="R93" s="3"/>
      <c r="S93" s="3"/>
      <c r="U93" s="2"/>
      <c r="V93" s="3"/>
      <c r="X93" s="2"/>
    </row>
    <row r="94" spans="1:24" x14ac:dyDescent="0.25">
      <c r="A94" s="15">
        <v>46041</v>
      </c>
      <c r="B94" s="19">
        <v>0.4826388888888889</v>
      </c>
      <c r="C94" s="9" t="s">
        <v>59</v>
      </c>
      <c r="D94" s="9"/>
      <c r="E94" s="9"/>
      <c r="F94" s="9"/>
      <c r="G94" s="32"/>
      <c r="H94" s="32"/>
      <c r="I94" s="3"/>
      <c r="J94" s="3"/>
      <c r="K94" s="3"/>
      <c r="L94" s="3"/>
      <c r="M94" s="3"/>
      <c r="N94" s="3"/>
      <c r="O94" s="3"/>
      <c r="P94" s="3"/>
      <c r="Q94" s="3"/>
      <c r="R94" s="3"/>
      <c r="S94" s="3"/>
      <c r="U94" s="2"/>
      <c r="V94" s="3"/>
      <c r="X94" s="2"/>
    </row>
    <row r="95" spans="1:24" x14ac:dyDescent="0.25">
      <c r="A95" s="15">
        <v>46043</v>
      </c>
      <c r="B95" s="19">
        <v>0.30416666666666664</v>
      </c>
      <c r="C95" s="9" t="s">
        <v>59</v>
      </c>
      <c r="D95" s="9"/>
      <c r="E95" s="9"/>
      <c r="F95" s="9"/>
      <c r="G95" s="32"/>
      <c r="H95" s="32"/>
      <c r="I95" s="3"/>
      <c r="J95" s="3"/>
      <c r="K95" s="3"/>
      <c r="L95" s="3"/>
      <c r="M95" s="3"/>
      <c r="N95" s="3"/>
      <c r="O95" s="3"/>
      <c r="P95" s="3"/>
      <c r="Q95" s="3"/>
      <c r="R95" s="3"/>
      <c r="S95" s="3"/>
      <c r="U95" s="2"/>
      <c r="V95" s="3"/>
      <c r="X95" s="2"/>
    </row>
    <row r="96" spans="1:24" x14ac:dyDescent="0.25">
      <c r="A96" s="15">
        <v>46044</v>
      </c>
      <c r="B96" s="19">
        <v>0.19236111111111112</v>
      </c>
      <c r="C96" s="9" t="s">
        <v>59</v>
      </c>
      <c r="D96" s="9"/>
      <c r="E96" s="9"/>
      <c r="F96" s="9"/>
      <c r="G96" s="32"/>
      <c r="H96" s="32"/>
      <c r="I96" s="3"/>
      <c r="J96" s="3"/>
      <c r="K96" s="3"/>
      <c r="L96" s="3"/>
      <c r="M96" s="3"/>
      <c r="N96" s="3"/>
      <c r="O96" s="3"/>
      <c r="P96" s="3"/>
      <c r="Q96" s="3"/>
      <c r="R96" s="3"/>
      <c r="S96" s="3"/>
      <c r="U96" s="2"/>
      <c r="V96" s="3"/>
      <c r="X96" s="2"/>
    </row>
    <row r="97" spans="1:24" x14ac:dyDescent="0.25">
      <c r="A97" s="15">
        <v>46048</v>
      </c>
      <c r="B97" s="19">
        <v>0.33333333333333331</v>
      </c>
      <c r="C97" s="9" t="s">
        <v>59</v>
      </c>
      <c r="D97" s="9"/>
      <c r="E97" s="9"/>
      <c r="F97" s="9"/>
      <c r="G97" s="32"/>
      <c r="H97" s="32"/>
      <c r="I97" s="3"/>
      <c r="J97" s="3"/>
      <c r="K97" s="3"/>
      <c r="L97" s="3"/>
      <c r="M97" s="3"/>
      <c r="N97" s="3"/>
      <c r="O97" s="3"/>
      <c r="P97" s="3"/>
      <c r="Q97" s="3"/>
      <c r="R97" s="3"/>
      <c r="S97" s="3"/>
      <c r="U97" s="2"/>
      <c r="V97" s="3"/>
      <c r="X97" s="2"/>
    </row>
    <row r="98" spans="1:24" x14ac:dyDescent="0.25">
      <c r="A98" s="41">
        <v>46049</v>
      </c>
      <c r="B98" s="42">
        <v>0.57916666666666672</v>
      </c>
      <c r="C98" s="1" t="s">
        <v>180</v>
      </c>
      <c r="D98" s="9"/>
      <c r="E98" s="9"/>
      <c r="F98" s="9"/>
      <c r="G98" s="32"/>
      <c r="H98" s="32"/>
      <c r="I98" s="3"/>
      <c r="J98" s="3"/>
      <c r="K98" s="3"/>
      <c r="L98" s="3"/>
      <c r="M98" s="3"/>
      <c r="N98" s="3"/>
      <c r="O98" s="3"/>
      <c r="P98" s="3"/>
      <c r="Q98" s="3"/>
      <c r="R98" s="3"/>
      <c r="S98" s="3"/>
      <c r="U98" s="2"/>
      <c r="V98" s="3"/>
      <c r="X98" s="2"/>
    </row>
    <row r="99" spans="1:24" x14ac:dyDescent="0.25">
      <c r="A99" s="15">
        <v>46049</v>
      </c>
      <c r="B99" s="19">
        <v>0.58750000000000002</v>
      </c>
      <c r="C99" s="9" t="s">
        <v>171</v>
      </c>
      <c r="D99" s="9"/>
      <c r="E99" s="9"/>
      <c r="F99" s="9"/>
      <c r="G99" s="32"/>
      <c r="H99" s="32"/>
      <c r="I99" s="3"/>
      <c r="J99" s="3"/>
      <c r="K99" s="3"/>
      <c r="L99" s="3"/>
      <c r="M99" s="3"/>
      <c r="N99" s="3"/>
      <c r="O99" s="3"/>
      <c r="P99" s="3"/>
      <c r="Q99" s="3"/>
      <c r="R99" s="3"/>
      <c r="S99" s="3"/>
      <c r="U99" s="2"/>
      <c r="V99" s="3"/>
      <c r="X99" s="2"/>
    </row>
    <row r="100" spans="1:24" x14ac:dyDescent="0.25">
      <c r="A100" s="15">
        <v>46051</v>
      </c>
      <c r="B100" s="19">
        <v>0.32291666666666669</v>
      </c>
      <c r="C100" s="9" t="s">
        <v>59</v>
      </c>
      <c r="D100" s="9"/>
      <c r="E100" s="9"/>
      <c r="F100" s="9"/>
      <c r="G100" s="32"/>
      <c r="H100" s="32"/>
      <c r="I100" s="3"/>
      <c r="J100" s="3"/>
      <c r="K100" s="3"/>
      <c r="L100" s="3"/>
      <c r="M100" s="3"/>
      <c r="N100" s="3"/>
      <c r="O100" s="3"/>
      <c r="P100" s="3"/>
      <c r="Q100" s="3"/>
      <c r="R100" s="3"/>
      <c r="S100" s="3"/>
      <c r="U100" s="2"/>
      <c r="V100" s="3"/>
      <c r="X100" s="2"/>
    </row>
    <row r="101" spans="1:24" x14ac:dyDescent="0.25">
      <c r="A101" s="15">
        <v>46052</v>
      </c>
      <c r="B101" s="19">
        <v>0.65763888888888888</v>
      </c>
      <c r="C101" s="9" t="s">
        <v>59</v>
      </c>
      <c r="D101" s="9"/>
      <c r="E101" s="9"/>
      <c r="F101" s="9"/>
      <c r="G101" s="32"/>
      <c r="H101" s="32"/>
      <c r="I101" s="3"/>
      <c r="J101" s="3"/>
      <c r="K101" s="3"/>
      <c r="L101" s="3"/>
      <c r="M101" s="3"/>
      <c r="N101" s="3"/>
      <c r="O101" s="3"/>
      <c r="P101" s="3"/>
      <c r="Q101" s="3"/>
      <c r="R101" s="3"/>
      <c r="S101" s="3"/>
      <c r="U101" s="2"/>
      <c r="V101" s="3"/>
      <c r="X101" s="2"/>
    </row>
    <row r="102" spans="1:24" x14ac:dyDescent="0.25">
      <c r="A102" s="15">
        <v>46055</v>
      </c>
      <c r="B102" s="19">
        <v>0.34444444444444444</v>
      </c>
      <c r="C102" s="9" t="s">
        <v>59</v>
      </c>
      <c r="D102" s="9"/>
      <c r="E102" s="9"/>
      <c r="F102" s="9"/>
      <c r="G102" s="32"/>
      <c r="H102" s="32"/>
      <c r="I102" s="3"/>
      <c r="J102" s="3"/>
      <c r="K102" s="3"/>
      <c r="L102" s="3"/>
      <c r="M102" s="3"/>
      <c r="N102" s="3"/>
      <c r="O102" s="3"/>
      <c r="P102" s="3"/>
      <c r="Q102" s="3"/>
      <c r="R102" s="3"/>
      <c r="S102" s="3"/>
      <c r="U102" s="2"/>
      <c r="V102" s="3"/>
      <c r="X102" s="2"/>
    </row>
    <row r="103" spans="1:24" x14ac:dyDescent="0.25">
      <c r="A103" s="15">
        <v>46057</v>
      </c>
      <c r="B103" s="19">
        <v>0.3125</v>
      </c>
      <c r="C103" s="9" t="s">
        <v>59</v>
      </c>
      <c r="D103" s="9"/>
      <c r="E103" s="9"/>
      <c r="F103" s="9"/>
      <c r="G103" s="32"/>
      <c r="H103" s="32"/>
      <c r="I103" s="3"/>
      <c r="J103" s="3"/>
      <c r="K103" s="3"/>
      <c r="L103" s="3"/>
      <c r="M103" s="3"/>
      <c r="N103" s="3"/>
      <c r="O103" s="3"/>
      <c r="P103" s="3"/>
      <c r="Q103" s="3"/>
      <c r="R103" s="3"/>
      <c r="S103" s="3"/>
      <c r="U103" s="2"/>
      <c r="V103" s="3"/>
      <c r="X103" s="2"/>
    </row>
    <row r="104" spans="1:24" x14ac:dyDescent="0.25">
      <c r="A104" s="15">
        <v>46059</v>
      </c>
      <c r="B104" s="19">
        <v>0.64930555555555558</v>
      </c>
      <c r="C104" s="9" t="s">
        <v>59</v>
      </c>
      <c r="D104" s="9"/>
      <c r="E104" s="9"/>
      <c r="F104" s="9"/>
      <c r="G104" s="32"/>
      <c r="H104" s="32"/>
      <c r="I104" s="3"/>
      <c r="J104" s="3"/>
      <c r="K104" s="3"/>
      <c r="L104" s="3"/>
      <c r="M104" s="3"/>
      <c r="N104" s="3"/>
      <c r="O104" s="3"/>
      <c r="P104" s="3"/>
      <c r="Q104" s="3"/>
      <c r="R104" s="3"/>
      <c r="S104" s="3"/>
      <c r="U104" s="2"/>
      <c r="V104" s="3"/>
      <c r="X104" s="2"/>
    </row>
    <row r="105" spans="1:24" x14ac:dyDescent="0.25">
      <c r="A105" s="43">
        <v>46062</v>
      </c>
      <c r="B105" s="19">
        <v>0.35555555555555557</v>
      </c>
      <c r="C105" s="9" t="s">
        <v>59</v>
      </c>
      <c r="D105" s="9"/>
      <c r="E105" s="9"/>
      <c r="F105" s="9"/>
      <c r="G105" s="32"/>
      <c r="H105" s="32"/>
      <c r="I105" s="3"/>
      <c r="J105" s="3"/>
      <c r="K105" s="3"/>
      <c r="L105" s="3"/>
      <c r="M105" s="3"/>
      <c r="N105" s="3"/>
      <c r="O105" s="3"/>
      <c r="P105" s="3"/>
      <c r="Q105" s="3"/>
      <c r="R105" s="3"/>
      <c r="S105" s="3"/>
      <c r="U105" s="2"/>
      <c r="V105" s="3"/>
      <c r="X105" s="2"/>
    </row>
    <row r="106" spans="1:24" x14ac:dyDescent="0.25">
      <c r="A106" s="15">
        <v>46064</v>
      </c>
      <c r="B106" s="7"/>
      <c r="C106" s="9" t="s">
        <v>59</v>
      </c>
      <c r="D106" s="9"/>
      <c r="E106" s="9"/>
      <c r="F106" s="9"/>
      <c r="G106" s="32"/>
      <c r="H106" s="32"/>
      <c r="I106" s="3"/>
      <c r="J106" s="3"/>
      <c r="K106" s="3"/>
      <c r="L106" s="3"/>
      <c r="M106" s="3"/>
      <c r="N106" s="3"/>
      <c r="O106" s="3"/>
      <c r="P106" s="3"/>
      <c r="Q106" s="3"/>
      <c r="R106" s="3"/>
      <c r="S106" s="3"/>
      <c r="U106" s="2"/>
      <c r="V106" s="3"/>
      <c r="X106" s="2"/>
    </row>
    <row r="107" spans="1:24" x14ac:dyDescent="0.25">
      <c r="A107" s="15">
        <v>46066</v>
      </c>
      <c r="B107" s="7"/>
      <c r="C107" s="9" t="s">
        <v>59</v>
      </c>
      <c r="D107" s="9"/>
      <c r="E107" s="9"/>
      <c r="F107" s="9"/>
      <c r="G107" s="32"/>
      <c r="H107" s="32"/>
      <c r="I107" s="3"/>
      <c r="J107" s="3"/>
      <c r="K107" s="3"/>
      <c r="L107" s="3"/>
      <c r="M107" s="3"/>
      <c r="N107" s="3"/>
      <c r="O107" s="3"/>
      <c r="P107" s="3"/>
      <c r="Q107" s="3"/>
      <c r="R107" s="3"/>
      <c r="S107" s="3"/>
      <c r="U107" s="2"/>
      <c r="V107" s="3"/>
      <c r="X107" s="2"/>
    </row>
    <row r="108" spans="1:24" x14ac:dyDescent="0.25">
      <c r="A108" s="15">
        <v>46069</v>
      </c>
      <c r="B108" s="19">
        <v>0.3125</v>
      </c>
      <c r="C108" s="9" t="s">
        <v>59</v>
      </c>
      <c r="D108" s="9"/>
      <c r="E108" s="9"/>
      <c r="F108" s="9"/>
      <c r="G108" s="32"/>
      <c r="H108" s="32"/>
      <c r="I108" s="3"/>
      <c r="J108" s="3"/>
      <c r="K108" s="3"/>
      <c r="L108" s="3"/>
      <c r="M108" s="3"/>
      <c r="N108" s="3"/>
      <c r="O108" s="3"/>
      <c r="P108" s="3"/>
      <c r="Q108" s="3"/>
      <c r="R108" s="3"/>
      <c r="S108" s="3"/>
      <c r="U108" s="2"/>
      <c r="V108" s="3"/>
      <c r="X108" s="2"/>
    </row>
    <row r="109" spans="1:24" x14ac:dyDescent="0.25">
      <c r="A109" s="15">
        <v>46070</v>
      </c>
      <c r="B109" s="19">
        <v>0.28888888888888886</v>
      </c>
      <c r="C109" s="9" t="s">
        <v>181</v>
      </c>
      <c r="D109" s="9"/>
      <c r="E109" s="9"/>
      <c r="F109" s="9"/>
      <c r="G109" s="32"/>
      <c r="H109" s="32"/>
      <c r="I109" s="3"/>
      <c r="J109" s="3"/>
      <c r="K109" s="3"/>
      <c r="L109" s="3"/>
      <c r="M109" s="3"/>
      <c r="N109" s="3"/>
      <c r="O109" s="3"/>
      <c r="P109" s="3"/>
      <c r="Q109" s="3"/>
      <c r="R109" s="3"/>
      <c r="S109" s="3"/>
      <c r="U109" s="2"/>
      <c r="V109" s="3"/>
      <c r="X109" s="2"/>
    </row>
    <row r="110" spans="1:24" x14ac:dyDescent="0.25">
      <c r="A110" s="7"/>
      <c r="B110" s="7"/>
      <c r="C110" s="9"/>
      <c r="D110" s="9"/>
      <c r="E110" s="9"/>
      <c r="F110" s="9"/>
      <c r="G110" s="32"/>
      <c r="H110" s="32"/>
      <c r="I110" s="3"/>
      <c r="J110" s="3"/>
      <c r="K110" s="3"/>
      <c r="L110" s="3"/>
      <c r="M110" s="3"/>
      <c r="N110" s="3"/>
      <c r="O110" s="3"/>
      <c r="P110" s="3"/>
      <c r="Q110" s="3"/>
      <c r="R110" s="3"/>
      <c r="S110" s="3"/>
      <c r="U110" s="2"/>
      <c r="V110" s="3"/>
      <c r="X110" s="2"/>
    </row>
    <row r="111" spans="1:24" x14ac:dyDescent="0.25">
      <c r="A111" s="7"/>
      <c r="B111" s="7"/>
      <c r="C111" s="9"/>
      <c r="D111" s="9"/>
      <c r="E111" s="9"/>
      <c r="F111" s="9"/>
      <c r="G111" s="32"/>
      <c r="H111" s="32"/>
      <c r="I111" s="3"/>
      <c r="J111" s="3"/>
      <c r="K111" s="3"/>
      <c r="L111" s="3"/>
      <c r="M111" s="3"/>
      <c r="N111" s="3"/>
      <c r="O111" s="3"/>
      <c r="P111" s="3"/>
      <c r="Q111" s="3"/>
      <c r="R111" s="3"/>
      <c r="S111" s="3"/>
      <c r="U111" s="2"/>
      <c r="V111" s="3"/>
      <c r="X111" s="2"/>
    </row>
    <row r="112" spans="1:24" x14ac:dyDescent="0.25">
      <c r="A112" s="7"/>
      <c r="B112" s="7"/>
      <c r="C112" s="9"/>
      <c r="D112" s="9"/>
      <c r="E112" s="9"/>
      <c r="F112" s="9"/>
      <c r="G112" s="32"/>
      <c r="H112" s="32"/>
      <c r="I112" s="3"/>
      <c r="J112" s="3"/>
      <c r="K112" s="3"/>
      <c r="L112" s="3"/>
      <c r="M112" s="3"/>
      <c r="N112" s="3"/>
      <c r="O112" s="3"/>
      <c r="P112" s="3"/>
      <c r="Q112" s="3"/>
      <c r="R112" s="3"/>
      <c r="S112" s="3"/>
      <c r="U112" s="2"/>
      <c r="V112" s="3"/>
      <c r="X112" s="2"/>
    </row>
    <row r="113" spans="1:24" x14ac:dyDescent="0.25">
      <c r="A113" s="7"/>
      <c r="B113" s="7"/>
      <c r="C113" s="9"/>
      <c r="D113" s="9"/>
      <c r="E113" s="9"/>
      <c r="F113" s="9"/>
      <c r="G113" s="32"/>
      <c r="H113" s="32"/>
      <c r="I113" s="3"/>
      <c r="J113" s="3"/>
      <c r="K113" s="3"/>
      <c r="L113" s="3"/>
      <c r="M113" s="3"/>
      <c r="N113" s="3"/>
      <c r="O113" s="3"/>
      <c r="P113" s="3"/>
      <c r="Q113" s="3"/>
      <c r="R113" s="3"/>
      <c r="S113" s="3"/>
      <c r="U113" s="2"/>
      <c r="V113" s="3"/>
      <c r="X113" s="2"/>
    </row>
    <row r="114" spans="1:24" x14ac:dyDescent="0.25">
      <c r="A114" s="7"/>
      <c r="B114" s="7"/>
      <c r="C114" s="9"/>
      <c r="D114" s="9"/>
      <c r="E114" s="9"/>
      <c r="F114" s="9"/>
      <c r="G114" s="32"/>
      <c r="H114" s="32"/>
      <c r="I114" s="3"/>
      <c r="J114" s="3"/>
      <c r="K114" s="3"/>
      <c r="L114" s="3"/>
      <c r="M114" s="3"/>
      <c r="N114" s="3"/>
      <c r="O114" s="3"/>
      <c r="P114" s="3"/>
      <c r="Q114" s="3"/>
      <c r="R114" s="3"/>
      <c r="S114" s="3"/>
      <c r="U114" s="2"/>
      <c r="V114" s="3"/>
      <c r="X114" s="2"/>
    </row>
    <row r="115" spans="1:24" x14ac:dyDescent="0.25">
      <c r="A115" s="7"/>
      <c r="B115" s="7"/>
      <c r="C115" s="9"/>
      <c r="D115" s="9"/>
      <c r="E115" s="9"/>
      <c r="F115" s="9"/>
      <c r="G115" s="32"/>
      <c r="H115" s="32"/>
      <c r="I115" s="3"/>
      <c r="J115" s="3"/>
      <c r="K115" s="3"/>
      <c r="L115" s="3"/>
      <c r="M115" s="3"/>
      <c r="N115" s="3"/>
      <c r="O115" s="3"/>
      <c r="P115" s="3"/>
      <c r="Q115" s="3"/>
      <c r="R115" s="3"/>
      <c r="S115" s="3"/>
      <c r="U115" s="2"/>
      <c r="V115" s="3"/>
      <c r="X115" s="2"/>
    </row>
    <row r="116" spans="1:24" x14ac:dyDescent="0.25">
      <c r="A116" s="7"/>
      <c r="B116" s="7"/>
      <c r="C116" s="9"/>
      <c r="D116" s="9"/>
      <c r="E116" s="9"/>
      <c r="F116" s="9"/>
      <c r="G116" s="32"/>
      <c r="H116" s="32"/>
      <c r="I116" s="3"/>
      <c r="J116" s="3"/>
      <c r="K116" s="3"/>
      <c r="L116" s="3"/>
      <c r="M116" s="3"/>
      <c r="N116" s="3"/>
      <c r="O116" s="3"/>
      <c r="P116" s="3"/>
      <c r="Q116" s="3"/>
      <c r="R116" s="3"/>
      <c r="S116" s="3"/>
      <c r="U116" s="2"/>
      <c r="V116" s="3"/>
      <c r="X116" s="2"/>
    </row>
    <row r="117" spans="1:24" x14ac:dyDescent="0.25">
      <c r="A117" s="7"/>
      <c r="B117" s="7"/>
      <c r="C117" s="9"/>
      <c r="D117" s="11"/>
      <c r="E117" s="11"/>
      <c r="F117" s="11"/>
      <c r="G117" s="32"/>
      <c r="H117" s="32"/>
      <c r="I117" s="3"/>
      <c r="J117" s="3"/>
      <c r="K117" s="3"/>
      <c r="L117" s="3"/>
      <c r="M117" s="3"/>
      <c r="N117" s="3"/>
      <c r="O117" s="3"/>
      <c r="P117" s="3"/>
      <c r="Q117" s="3"/>
      <c r="R117" s="3"/>
      <c r="S117" s="3"/>
      <c r="U117" s="2"/>
      <c r="V117" s="3"/>
      <c r="X117" s="2"/>
    </row>
    <row r="118" spans="1:24" x14ac:dyDescent="0.25">
      <c r="A118" s="7"/>
      <c r="B118" s="7"/>
      <c r="C118" s="9"/>
      <c r="J118" s="3"/>
      <c r="K118" s="3"/>
      <c r="L118" s="3"/>
      <c r="M118" s="3"/>
      <c r="N118" s="3"/>
      <c r="O118" s="3"/>
      <c r="P118" s="3"/>
      <c r="Q118" s="3"/>
      <c r="R118" s="3"/>
      <c r="S118" s="3"/>
      <c r="U118" s="2"/>
      <c r="V118" s="3"/>
      <c r="X118" s="2"/>
    </row>
    <row r="119" spans="1:24" x14ac:dyDescent="0.25">
      <c r="A119" s="7"/>
      <c r="B119" s="7"/>
      <c r="C119" s="9"/>
      <c r="J119" s="3"/>
      <c r="K119" s="3"/>
      <c r="L119" s="3"/>
      <c r="M119" s="3"/>
      <c r="N119" s="3"/>
      <c r="O119" s="3"/>
      <c r="P119" s="3"/>
      <c r="Q119" s="3"/>
      <c r="R119" s="3"/>
      <c r="S119" s="3"/>
      <c r="U119" s="2"/>
      <c r="V119" s="3"/>
      <c r="X119" s="2"/>
    </row>
    <row r="120" spans="1:24" x14ac:dyDescent="0.25">
      <c r="A120" s="7"/>
      <c r="B120" s="7"/>
      <c r="C120" s="9"/>
      <c r="J120" s="3"/>
      <c r="K120" s="3"/>
      <c r="L120" s="3"/>
      <c r="M120" s="3"/>
      <c r="N120" s="3"/>
      <c r="O120" s="3"/>
      <c r="P120" s="3"/>
      <c r="Q120" s="3"/>
      <c r="R120" s="3"/>
      <c r="S120" s="3"/>
      <c r="U120" s="2"/>
      <c r="V120" s="3"/>
      <c r="X120" s="2"/>
    </row>
    <row r="121" spans="1:24" x14ac:dyDescent="0.25">
      <c r="A121" s="7"/>
      <c r="B121" s="7"/>
      <c r="C121" s="9"/>
      <c r="J121" s="3"/>
      <c r="K121" s="3"/>
      <c r="L121" s="3"/>
      <c r="M121" s="3"/>
      <c r="N121" s="3"/>
      <c r="O121" s="3"/>
      <c r="P121" s="3"/>
      <c r="Q121" s="3"/>
      <c r="R121" s="3"/>
      <c r="S121" s="3"/>
      <c r="U121" s="2"/>
      <c r="V121" s="3"/>
      <c r="X121" s="2"/>
    </row>
    <row r="122" spans="1:24" x14ac:dyDescent="0.25">
      <c r="A122" s="7"/>
      <c r="B122" s="7"/>
      <c r="C122" s="9"/>
      <c r="J122" s="3"/>
      <c r="K122" s="3"/>
      <c r="L122" s="3"/>
      <c r="M122" s="3"/>
      <c r="N122" s="3"/>
      <c r="O122" s="3"/>
      <c r="P122" s="3"/>
      <c r="Q122" s="3"/>
      <c r="R122" s="3"/>
      <c r="S122" s="3"/>
      <c r="U122" s="2"/>
      <c r="V122" s="3"/>
      <c r="X122" s="2"/>
    </row>
    <row r="123" spans="1:24" x14ac:dyDescent="0.25">
      <c r="A123" s="7"/>
      <c r="B123" s="7"/>
      <c r="C123" s="9"/>
      <c r="J123" s="3"/>
      <c r="K123" s="3"/>
      <c r="L123" s="3"/>
      <c r="M123" s="3"/>
      <c r="N123" s="3"/>
      <c r="O123" s="3"/>
      <c r="P123" s="3"/>
      <c r="Q123" s="3"/>
      <c r="R123" s="3"/>
      <c r="S123" s="3"/>
      <c r="U123" s="2"/>
      <c r="V123" s="3"/>
      <c r="X123" s="2"/>
    </row>
    <row r="124" spans="1:24" x14ac:dyDescent="0.25">
      <c r="A124" s="7"/>
      <c r="B124" s="7"/>
      <c r="C124" s="9"/>
      <c r="J124" s="3"/>
      <c r="K124" s="3"/>
      <c r="L124" s="3"/>
      <c r="M124" s="3"/>
      <c r="N124" s="3"/>
      <c r="O124" s="3"/>
      <c r="P124" s="3"/>
      <c r="Q124" s="3"/>
      <c r="R124" s="3"/>
      <c r="S124" s="3"/>
      <c r="U124" s="2"/>
      <c r="V124" s="3"/>
      <c r="X124" s="2"/>
    </row>
    <row r="125" spans="1:24" x14ac:dyDescent="0.25">
      <c r="A125" s="7" t="s">
        <v>49</v>
      </c>
      <c r="B125" s="7"/>
      <c r="C125" s="9"/>
      <c r="J125" s="3"/>
      <c r="K125" s="3"/>
      <c r="L125" s="3"/>
      <c r="M125" s="3"/>
      <c r="N125" s="3"/>
      <c r="O125" s="3"/>
      <c r="P125" s="3"/>
      <c r="Q125" s="3"/>
      <c r="R125" s="3"/>
      <c r="S125" s="3"/>
      <c r="U125" s="2"/>
      <c r="V125" s="3"/>
      <c r="X125" s="2"/>
    </row>
    <row r="126" spans="1:24" x14ac:dyDescent="0.25">
      <c r="A126" s="8"/>
      <c r="B126" s="8"/>
      <c r="C126" s="11"/>
      <c r="J126" s="4"/>
      <c r="K126" s="4"/>
      <c r="L126" s="4"/>
      <c r="M126" s="4"/>
      <c r="N126" s="4"/>
      <c r="O126" s="4"/>
      <c r="P126" s="4"/>
      <c r="Q126" s="4"/>
      <c r="R126" s="4"/>
      <c r="S126" s="4"/>
      <c r="T126" s="5"/>
      <c r="U126" s="6"/>
      <c r="V126" s="4"/>
      <c r="W126" s="5"/>
      <c r="X126" s="6"/>
    </row>
  </sheetData>
  <mergeCells count="2">
    <mergeCell ref="D4:F4"/>
    <mergeCell ref="G4:I4"/>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17BDF-1F22-4818-A91E-A469512950FB}">
  <dimension ref="A2:AA119"/>
  <sheetViews>
    <sheetView tabSelected="1" zoomScale="90" zoomScaleNormal="90" workbookViewId="0">
      <pane ySplit="5" topLeftCell="A50" activePane="bottomLeft" state="frozen"/>
      <selection pane="bottomLeft" activeCell="C63" sqref="C63"/>
    </sheetView>
  </sheetViews>
  <sheetFormatPr baseColWidth="10" defaultColWidth="9.140625" defaultRowHeight="15" x14ac:dyDescent="0.25"/>
  <cols>
    <col min="1" max="1" width="20.42578125" customWidth="1"/>
    <col min="2" max="2" width="13.28515625" customWidth="1"/>
    <col min="3" max="3" width="60.7109375" style="1" customWidth="1"/>
    <col min="4" max="6" width="5.42578125" style="1" bestFit="1" customWidth="1"/>
    <col min="7" max="8" width="7.7109375" style="1" bestFit="1" customWidth="1"/>
    <col min="9" max="9" width="7.7109375" bestFit="1" customWidth="1"/>
    <col min="10" max="10" width="13.85546875" customWidth="1"/>
    <col min="11" max="11" width="12.7109375" customWidth="1"/>
    <col min="16" max="16" width="11.140625" bestFit="1" customWidth="1"/>
  </cols>
  <sheetData>
    <row r="2" spans="1:27" x14ac:dyDescent="0.25">
      <c r="A2" t="s">
        <v>0</v>
      </c>
      <c r="B2" s="1">
        <v>5.65</v>
      </c>
      <c r="C2" t="s">
        <v>1</v>
      </c>
    </row>
    <row r="3" spans="1:27" x14ac:dyDescent="0.25">
      <c r="A3" t="s">
        <v>2</v>
      </c>
      <c r="B3" s="1">
        <f>2*190</f>
        <v>380</v>
      </c>
      <c r="C3" t="s">
        <v>3</v>
      </c>
    </row>
    <row r="4" spans="1:27" x14ac:dyDescent="0.25">
      <c r="D4" s="44" t="s">
        <v>4</v>
      </c>
      <c r="E4" s="44"/>
      <c r="F4" s="44"/>
      <c r="G4" s="44" t="s">
        <v>5</v>
      </c>
      <c r="H4" s="44"/>
      <c r="I4" s="44"/>
      <c r="J4" t="s">
        <v>6</v>
      </c>
      <c r="M4" t="s">
        <v>7</v>
      </c>
      <c r="P4" t="s">
        <v>8</v>
      </c>
      <c r="S4" t="s">
        <v>9</v>
      </c>
      <c r="V4" t="s">
        <v>10</v>
      </c>
      <c r="Y4" t="s">
        <v>11</v>
      </c>
    </row>
    <row r="5" spans="1:27" x14ac:dyDescent="0.25">
      <c r="A5" s="21" t="s">
        <v>12</v>
      </c>
      <c r="B5" s="17" t="s">
        <v>13</v>
      </c>
      <c r="C5" s="16" t="s">
        <v>14</v>
      </c>
      <c r="D5" s="30" t="s">
        <v>15</v>
      </c>
      <c r="E5" s="30" t="s">
        <v>16</v>
      </c>
      <c r="F5" s="30" t="s">
        <v>17</v>
      </c>
      <c r="G5" s="30" t="s">
        <v>15</v>
      </c>
      <c r="H5" s="30" t="s">
        <v>16</v>
      </c>
      <c r="I5" s="30" t="s">
        <v>17</v>
      </c>
      <c r="J5" s="18" t="s">
        <v>18</v>
      </c>
      <c r="K5" s="18" t="s">
        <v>19</v>
      </c>
      <c r="L5" s="18" t="s">
        <v>20</v>
      </c>
      <c r="M5" s="18" t="s">
        <v>18</v>
      </c>
      <c r="N5" s="18" t="s">
        <v>19</v>
      </c>
      <c r="O5" s="18" t="s">
        <v>20</v>
      </c>
      <c r="P5" s="18" t="s">
        <v>18</v>
      </c>
      <c r="Q5" s="18" t="s">
        <v>19</v>
      </c>
      <c r="R5" s="18" t="s">
        <v>20</v>
      </c>
      <c r="S5" s="18" t="s">
        <v>18</v>
      </c>
      <c r="T5" s="18" t="s">
        <v>19</v>
      </c>
      <c r="U5" s="18" t="s">
        <v>20</v>
      </c>
      <c r="V5" s="18" t="s">
        <v>18</v>
      </c>
      <c r="W5" s="18" t="s">
        <v>19</v>
      </c>
      <c r="X5" s="18" t="s">
        <v>20</v>
      </c>
      <c r="Y5" s="18" t="s">
        <v>18</v>
      </c>
      <c r="Z5" s="18" t="s">
        <v>19</v>
      </c>
      <c r="AA5" s="24" t="s">
        <v>20</v>
      </c>
    </row>
    <row r="6" spans="1:27" ht="30" x14ac:dyDescent="0.25">
      <c r="A6" s="15">
        <v>45952</v>
      </c>
      <c r="B6" s="19">
        <v>0.44444444444444442</v>
      </c>
      <c r="C6" s="9" t="s">
        <v>76</v>
      </c>
      <c r="D6" s="9"/>
      <c r="E6" s="9"/>
      <c r="F6" s="9"/>
      <c r="G6" s="32"/>
      <c r="H6" s="32"/>
      <c r="I6" s="29"/>
      <c r="J6" s="22"/>
      <c r="K6" s="22"/>
      <c r="L6" s="22"/>
      <c r="M6" s="22"/>
      <c r="N6" s="22"/>
      <c r="O6" s="22"/>
      <c r="P6" s="22"/>
      <c r="Q6" s="22"/>
      <c r="R6" s="22"/>
      <c r="S6" s="3"/>
      <c r="U6" s="2"/>
      <c r="V6" s="3"/>
      <c r="X6" s="2"/>
    </row>
    <row r="7" spans="1:27" x14ac:dyDescent="0.25">
      <c r="A7" s="15">
        <v>45952</v>
      </c>
      <c r="B7" s="19">
        <v>0.45833333333333331</v>
      </c>
      <c r="C7" s="9" t="s">
        <v>77</v>
      </c>
      <c r="D7" s="9"/>
      <c r="E7" s="9"/>
      <c r="F7" s="9"/>
      <c r="G7" s="31"/>
      <c r="H7" s="31"/>
      <c r="I7" s="31"/>
      <c r="J7" s="22"/>
      <c r="K7" s="22"/>
      <c r="L7" s="22"/>
      <c r="M7" s="22"/>
      <c r="N7" s="22"/>
      <c r="O7" s="22"/>
      <c r="P7" s="22"/>
      <c r="Q7" s="22"/>
      <c r="R7" s="22"/>
      <c r="S7" s="3"/>
      <c r="U7" s="2"/>
      <c r="V7" s="3"/>
      <c r="X7" s="2"/>
    </row>
    <row r="8" spans="1:27" ht="30" x14ac:dyDescent="0.25">
      <c r="A8" s="15">
        <v>45954</v>
      </c>
      <c r="B8" s="19">
        <v>0.32291666666666669</v>
      </c>
      <c r="C8" s="9" t="s">
        <v>78</v>
      </c>
      <c r="D8" s="9"/>
      <c r="E8" s="9"/>
      <c r="F8" s="9"/>
      <c r="G8" s="31"/>
      <c r="H8" s="31"/>
      <c r="I8" s="31"/>
      <c r="J8" s="22"/>
      <c r="K8" s="22"/>
      <c r="L8" s="22"/>
      <c r="M8" s="22"/>
      <c r="N8" s="22"/>
      <c r="O8" s="22"/>
      <c r="P8" s="22"/>
      <c r="Q8" s="22"/>
      <c r="R8" s="22"/>
      <c r="S8" s="3"/>
      <c r="U8" s="2"/>
      <c r="V8" s="3"/>
      <c r="X8" s="2"/>
    </row>
    <row r="9" spans="1:27" ht="17.25" customHeight="1" x14ac:dyDescent="0.25">
      <c r="A9" s="15">
        <v>45959</v>
      </c>
      <c r="B9" s="19">
        <v>0.58680555555555558</v>
      </c>
      <c r="C9" s="9" t="s">
        <v>79</v>
      </c>
      <c r="D9" s="9"/>
      <c r="E9" s="9"/>
      <c r="F9" s="9"/>
      <c r="G9" s="31"/>
      <c r="H9" s="31"/>
      <c r="I9" s="31"/>
      <c r="J9" s="22"/>
      <c r="K9" s="22"/>
      <c r="L9" s="22"/>
      <c r="M9" s="22"/>
      <c r="N9" s="22"/>
      <c r="O9" s="22"/>
      <c r="P9" s="22"/>
      <c r="Q9" s="22"/>
      <c r="R9" s="22"/>
      <c r="S9" s="3"/>
      <c r="U9" s="2"/>
      <c r="V9" s="3"/>
      <c r="X9" s="2"/>
    </row>
    <row r="10" spans="1:27" x14ac:dyDescent="0.25">
      <c r="A10" s="15">
        <v>45968</v>
      </c>
      <c r="B10" s="19">
        <v>0.4909722222222222</v>
      </c>
      <c r="C10" s="9" t="s">
        <v>80</v>
      </c>
      <c r="D10" s="9"/>
      <c r="E10" s="9"/>
      <c r="F10" s="9"/>
      <c r="G10" s="31"/>
      <c r="H10" s="31"/>
      <c r="I10" s="31"/>
      <c r="J10" s="22"/>
      <c r="K10" s="22"/>
      <c r="L10" s="22"/>
      <c r="M10" s="22"/>
      <c r="N10" s="22"/>
      <c r="O10" s="22"/>
      <c r="P10" s="22"/>
      <c r="Q10" s="22"/>
      <c r="R10" s="22"/>
      <c r="S10" s="3"/>
      <c r="U10" s="2"/>
      <c r="V10" s="3"/>
      <c r="X10" s="2"/>
    </row>
    <row r="11" spans="1:27" ht="34.5" customHeight="1" x14ac:dyDescent="0.25">
      <c r="A11" s="15">
        <v>45971</v>
      </c>
      <c r="B11" s="19">
        <v>0.66666666666666663</v>
      </c>
      <c r="C11" s="9" t="s">
        <v>81</v>
      </c>
      <c r="D11" s="9"/>
      <c r="E11" s="9"/>
      <c r="F11" s="9"/>
      <c r="G11" s="31"/>
      <c r="H11" s="31"/>
      <c r="I11" s="31"/>
      <c r="J11" s="22"/>
      <c r="K11" s="22"/>
      <c r="L11" s="22"/>
      <c r="M11" s="22"/>
      <c r="N11" s="22"/>
      <c r="O11" s="22"/>
      <c r="P11" s="22"/>
      <c r="Q11" s="22"/>
      <c r="R11" s="22"/>
      <c r="S11" s="3"/>
      <c r="U11" s="2"/>
      <c r="V11" s="3"/>
      <c r="X11" s="2"/>
    </row>
    <row r="12" spans="1:27" ht="34.5" customHeight="1" x14ac:dyDescent="0.25">
      <c r="A12" s="15">
        <v>45978</v>
      </c>
      <c r="B12" s="19">
        <v>0.45208333333333334</v>
      </c>
      <c r="C12" s="9" t="s">
        <v>182</v>
      </c>
      <c r="D12" s="9"/>
      <c r="E12" s="9"/>
      <c r="F12" s="9"/>
      <c r="G12" s="31"/>
      <c r="H12" s="31"/>
      <c r="I12" s="31"/>
      <c r="J12" s="22"/>
      <c r="K12" s="22"/>
      <c r="L12" s="22"/>
      <c r="M12" s="22"/>
      <c r="N12" s="22"/>
      <c r="O12" s="22"/>
      <c r="P12" s="22"/>
      <c r="Q12" s="22"/>
      <c r="R12" s="22"/>
      <c r="S12" s="3"/>
      <c r="U12" s="2"/>
      <c r="V12" s="3"/>
      <c r="X12" s="2"/>
    </row>
    <row r="13" spans="1:27" x14ac:dyDescent="0.25">
      <c r="A13" s="15">
        <v>45979</v>
      </c>
      <c r="B13" s="19">
        <v>0.30486111111111114</v>
      </c>
      <c r="C13" s="9" t="s">
        <v>183</v>
      </c>
      <c r="D13" s="9"/>
      <c r="E13" s="9"/>
      <c r="F13" s="9"/>
      <c r="G13" s="31"/>
      <c r="H13" s="31"/>
      <c r="I13" s="31"/>
      <c r="J13" s="22"/>
      <c r="K13" s="22"/>
      <c r="L13" s="22"/>
      <c r="M13" s="22"/>
      <c r="N13" s="22"/>
      <c r="O13" s="22"/>
      <c r="P13" s="22"/>
      <c r="Q13" s="22"/>
      <c r="R13" s="22"/>
      <c r="S13" s="3"/>
      <c r="U13" s="2"/>
      <c r="V13" s="3"/>
      <c r="X13" s="2"/>
    </row>
    <row r="14" spans="1:27" x14ac:dyDescent="0.25">
      <c r="A14" s="15">
        <v>45979</v>
      </c>
      <c r="B14" s="19">
        <v>0.44027777777777777</v>
      </c>
      <c r="C14" s="9" t="s">
        <v>182</v>
      </c>
      <c r="D14" s="9"/>
      <c r="E14" s="9"/>
      <c r="F14" s="9"/>
      <c r="G14" s="31"/>
      <c r="H14" s="31"/>
      <c r="I14" s="31"/>
      <c r="J14" s="22"/>
      <c r="K14" s="22"/>
      <c r="L14" s="22"/>
      <c r="M14" s="22"/>
      <c r="N14" s="22"/>
      <c r="O14" s="22"/>
      <c r="P14" s="22"/>
      <c r="Q14" s="22"/>
      <c r="R14" s="22"/>
      <c r="S14" s="3"/>
      <c r="U14" s="2"/>
      <c r="V14" s="3"/>
      <c r="X14" s="2"/>
    </row>
    <row r="15" spans="1:27" ht="30" x14ac:dyDescent="0.25">
      <c r="A15" s="15">
        <v>45979</v>
      </c>
      <c r="B15" s="19">
        <v>0.47083333333333333</v>
      </c>
      <c r="C15" s="9" t="s">
        <v>184</v>
      </c>
      <c r="D15" s="9"/>
      <c r="E15" s="9"/>
      <c r="F15" s="9"/>
      <c r="G15" s="31"/>
      <c r="H15" s="31"/>
      <c r="I15" s="31"/>
      <c r="J15" s="22"/>
      <c r="K15" s="22"/>
      <c r="L15" s="22"/>
      <c r="M15" s="22"/>
      <c r="N15" s="22"/>
      <c r="O15" s="22"/>
      <c r="P15" s="22"/>
      <c r="Q15" s="22"/>
      <c r="R15" s="22"/>
      <c r="S15" s="3"/>
      <c r="U15" s="2"/>
      <c r="V15" s="3"/>
      <c r="X15" s="2"/>
    </row>
    <row r="16" spans="1:27" x14ac:dyDescent="0.25">
      <c r="A16" s="15">
        <v>45979</v>
      </c>
      <c r="B16" s="19">
        <v>0.49305555555555558</v>
      </c>
      <c r="C16" s="9" t="s">
        <v>185</v>
      </c>
      <c r="D16" s="9"/>
      <c r="E16" s="9"/>
      <c r="F16" s="9"/>
      <c r="G16" s="31"/>
      <c r="H16" s="31"/>
      <c r="I16" s="31"/>
      <c r="J16" s="22"/>
      <c r="K16" s="22"/>
      <c r="L16" s="22"/>
      <c r="M16" s="22"/>
      <c r="N16" s="22"/>
      <c r="O16" s="22"/>
      <c r="P16" s="22"/>
      <c r="Q16" s="22"/>
      <c r="R16" s="22"/>
      <c r="S16" s="3"/>
      <c r="U16" s="2"/>
      <c r="V16" s="3"/>
      <c r="X16" s="2"/>
    </row>
    <row r="17" spans="1:24" x14ac:dyDescent="0.25">
      <c r="A17" s="15">
        <v>45981</v>
      </c>
      <c r="B17" s="19">
        <v>0.61805555555555558</v>
      </c>
      <c r="C17" s="9" t="s">
        <v>186</v>
      </c>
      <c r="D17" s="9"/>
      <c r="E17" s="9"/>
      <c r="F17" s="9"/>
      <c r="G17" s="31"/>
      <c r="H17" s="31"/>
      <c r="I17" s="31"/>
      <c r="J17" s="23"/>
      <c r="K17" s="23"/>
      <c r="L17" s="23"/>
      <c r="M17" s="23"/>
      <c r="N17" s="23"/>
      <c r="O17" s="23"/>
      <c r="P17" s="23"/>
      <c r="Q17" s="23"/>
      <c r="R17" s="23"/>
      <c r="S17" s="3"/>
      <c r="U17" s="2"/>
      <c r="V17" s="3"/>
      <c r="X17" s="2"/>
    </row>
    <row r="18" spans="1:24" x14ac:dyDescent="0.25">
      <c r="A18" s="15">
        <v>45982</v>
      </c>
      <c r="B18" s="19">
        <v>0.56111111111111112</v>
      </c>
      <c r="C18" s="9" t="s">
        <v>187</v>
      </c>
      <c r="D18" s="9"/>
      <c r="E18" s="9"/>
      <c r="F18" s="9"/>
      <c r="G18" s="31"/>
      <c r="H18" s="31"/>
      <c r="I18" s="31"/>
      <c r="J18" s="22"/>
      <c r="K18" s="22"/>
      <c r="L18" s="22"/>
      <c r="M18" s="22"/>
      <c r="N18" s="22"/>
      <c r="O18" s="22"/>
      <c r="P18" s="22"/>
      <c r="Q18" s="22"/>
      <c r="R18" s="22"/>
      <c r="S18" s="3"/>
      <c r="U18" s="2"/>
      <c r="V18" s="3"/>
      <c r="X18" s="2"/>
    </row>
    <row r="19" spans="1:24" x14ac:dyDescent="0.25">
      <c r="A19" s="15">
        <v>45982</v>
      </c>
      <c r="B19" s="19">
        <v>0.56736111111111109</v>
      </c>
      <c r="C19" s="9" t="s">
        <v>188</v>
      </c>
      <c r="D19" s="9"/>
      <c r="E19" s="9"/>
      <c r="F19" s="9"/>
      <c r="G19" s="31"/>
      <c r="H19" s="31"/>
      <c r="I19" s="31"/>
      <c r="J19" s="22"/>
      <c r="K19" s="22"/>
      <c r="L19" s="22"/>
      <c r="M19" s="22"/>
      <c r="N19" s="22"/>
      <c r="O19" s="22"/>
      <c r="P19" s="22"/>
      <c r="Q19" s="22"/>
      <c r="R19" s="22"/>
      <c r="S19" s="3"/>
      <c r="U19" s="2"/>
      <c r="V19" s="3"/>
      <c r="X19" s="2"/>
    </row>
    <row r="20" spans="1:24" x14ac:dyDescent="0.25">
      <c r="A20" s="15">
        <v>45982</v>
      </c>
      <c r="B20" s="19">
        <v>0.57638888888888884</v>
      </c>
      <c r="C20" s="9" t="s">
        <v>189</v>
      </c>
      <c r="D20" s="9"/>
      <c r="E20" s="9"/>
      <c r="F20" s="9"/>
      <c r="G20" s="31"/>
      <c r="H20" s="31"/>
      <c r="I20" s="31"/>
      <c r="J20" s="22"/>
      <c r="K20" s="22"/>
      <c r="L20" s="22"/>
      <c r="M20" s="22"/>
      <c r="N20" s="22"/>
      <c r="O20" s="22"/>
      <c r="P20" s="22"/>
      <c r="Q20" s="22"/>
      <c r="R20" s="22"/>
      <c r="S20" s="3"/>
      <c r="U20" s="2"/>
      <c r="V20" s="3"/>
      <c r="X20" s="2"/>
    </row>
    <row r="21" spans="1:24" x14ac:dyDescent="0.25">
      <c r="A21" s="15">
        <v>45983</v>
      </c>
      <c r="B21" s="19">
        <v>0.77222222222222225</v>
      </c>
      <c r="C21" s="9" t="s">
        <v>165</v>
      </c>
      <c r="D21" s="9"/>
      <c r="E21" s="9"/>
      <c r="F21" s="9"/>
      <c r="G21" s="31"/>
      <c r="H21" s="31"/>
      <c r="I21" s="31"/>
      <c r="J21" s="22"/>
      <c r="K21" s="22"/>
      <c r="L21" s="22"/>
      <c r="M21" s="22"/>
      <c r="N21" s="22"/>
      <c r="O21" s="22"/>
      <c r="P21" s="22"/>
      <c r="Q21" s="22"/>
      <c r="R21" s="22"/>
      <c r="S21" s="3"/>
      <c r="U21" s="2"/>
      <c r="V21" s="3"/>
      <c r="X21" s="2"/>
    </row>
    <row r="22" spans="1:24" x14ac:dyDescent="0.25">
      <c r="A22" s="15">
        <v>45985</v>
      </c>
      <c r="B22" s="19">
        <v>0.31527777777777777</v>
      </c>
      <c r="C22" s="9" t="s">
        <v>166</v>
      </c>
      <c r="D22" s="9"/>
      <c r="E22" s="9"/>
      <c r="F22" s="9"/>
      <c r="G22" s="31"/>
      <c r="H22" s="31"/>
      <c r="I22" s="31"/>
      <c r="J22" s="22"/>
      <c r="K22" s="22"/>
      <c r="L22" s="22"/>
      <c r="M22" s="22"/>
      <c r="N22" s="22"/>
      <c r="O22" s="22"/>
      <c r="P22" s="22"/>
      <c r="Q22" s="22"/>
      <c r="R22" s="22"/>
      <c r="S22" s="3"/>
      <c r="U22" s="2"/>
      <c r="V22" s="3"/>
      <c r="X22" s="2"/>
    </row>
    <row r="23" spans="1:24" x14ac:dyDescent="0.25">
      <c r="A23" s="15">
        <v>45987</v>
      </c>
      <c r="B23" s="19">
        <v>0.36041666666666666</v>
      </c>
      <c r="C23" s="9" t="s">
        <v>190</v>
      </c>
      <c r="D23" s="9"/>
      <c r="E23" s="9"/>
      <c r="F23" s="9"/>
      <c r="G23" s="31"/>
      <c r="H23" s="31"/>
      <c r="I23" s="31"/>
      <c r="J23" s="22"/>
      <c r="K23" s="22"/>
      <c r="L23" s="22"/>
      <c r="M23" s="22"/>
      <c r="N23" s="22"/>
      <c r="O23" s="22"/>
      <c r="P23" s="22"/>
      <c r="Q23" s="22"/>
      <c r="R23" s="22"/>
      <c r="S23" s="3"/>
      <c r="U23" s="2"/>
      <c r="V23" s="3"/>
      <c r="X23" s="2"/>
    </row>
    <row r="24" spans="1:24" x14ac:dyDescent="0.25">
      <c r="A24" s="15">
        <v>45987</v>
      </c>
      <c r="B24" s="19">
        <v>0.39583333333333331</v>
      </c>
      <c r="C24" s="9" t="s">
        <v>191</v>
      </c>
      <c r="D24" s="9"/>
      <c r="E24" s="9"/>
      <c r="F24" s="9"/>
      <c r="G24" s="31"/>
      <c r="H24" s="31"/>
      <c r="I24" s="31"/>
      <c r="J24" s="22"/>
      <c r="K24" s="22"/>
      <c r="L24" s="22"/>
      <c r="M24" s="22"/>
      <c r="N24" s="22"/>
      <c r="O24" s="22"/>
      <c r="P24" s="22"/>
      <c r="Q24" s="22"/>
      <c r="R24" s="22"/>
      <c r="S24" s="3"/>
      <c r="U24" s="2"/>
      <c r="V24" s="3"/>
      <c r="X24" s="2"/>
    </row>
    <row r="25" spans="1:24" ht="30" x14ac:dyDescent="0.25">
      <c r="A25" s="15">
        <v>45988</v>
      </c>
      <c r="B25" s="19">
        <v>0.31458333333333333</v>
      </c>
      <c r="C25" s="9" t="s">
        <v>192</v>
      </c>
      <c r="D25" s="9"/>
      <c r="E25" s="9"/>
      <c r="F25" s="9"/>
      <c r="G25" s="31"/>
      <c r="H25" s="31"/>
      <c r="I25" s="31"/>
      <c r="J25" s="22"/>
      <c r="K25" s="22"/>
      <c r="L25" s="22"/>
      <c r="M25" s="22"/>
      <c r="N25" s="22"/>
      <c r="O25" s="22"/>
      <c r="P25" s="22"/>
      <c r="Q25" s="22"/>
      <c r="R25" s="22"/>
      <c r="S25" s="3"/>
      <c r="U25" s="2"/>
      <c r="V25" s="3"/>
      <c r="X25" s="2"/>
    </row>
    <row r="26" spans="1:24" x14ac:dyDescent="0.25">
      <c r="A26" s="15">
        <v>45989</v>
      </c>
      <c r="B26" s="19">
        <v>0.32013888888888886</v>
      </c>
      <c r="C26" s="9" t="s">
        <v>193</v>
      </c>
      <c r="D26" s="9"/>
      <c r="E26" s="9"/>
      <c r="F26" s="9"/>
      <c r="G26" s="32"/>
      <c r="H26" s="32"/>
      <c r="I26" s="22"/>
      <c r="J26" s="22"/>
      <c r="K26" s="22"/>
      <c r="L26" s="22"/>
      <c r="M26" s="22"/>
      <c r="N26" s="22"/>
      <c r="O26" s="22"/>
      <c r="P26" s="22"/>
      <c r="Q26" s="22"/>
      <c r="R26" s="22"/>
      <c r="S26" s="3"/>
      <c r="U26" s="2"/>
      <c r="V26" s="3"/>
      <c r="X26" s="2"/>
    </row>
    <row r="27" spans="1:24" x14ac:dyDescent="0.25">
      <c r="A27" s="15">
        <v>45989</v>
      </c>
      <c r="B27" s="19">
        <v>0.36388888888888887</v>
      </c>
      <c r="C27" s="9" t="s">
        <v>194</v>
      </c>
      <c r="D27" s="9"/>
      <c r="E27" s="9"/>
      <c r="F27" s="9"/>
      <c r="G27" s="32"/>
      <c r="H27" s="32"/>
      <c r="I27" s="22"/>
      <c r="J27" s="22"/>
      <c r="K27" s="22"/>
      <c r="L27" s="22"/>
      <c r="M27" s="22"/>
      <c r="N27" s="22"/>
      <c r="O27" s="22"/>
      <c r="P27" s="22"/>
      <c r="Q27" s="22"/>
      <c r="R27" s="22"/>
      <c r="S27" s="3"/>
      <c r="U27" s="2"/>
      <c r="V27" s="3"/>
      <c r="X27" s="2"/>
    </row>
    <row r="28" spans="1:24" x14ac:dyDescent="0.25">
      <c r="A28" s="15">
        <v>45992</v>
      </c>
      <c r="B28" s="19">
        <v>0.35069444444444442</v>
      </c>
      <c r="C28" s="9" t="s">
        <v>195</v>
      </c>
      <c r="D28" s="9"/>
      <c r="E28" s="9"/>
      <c r="F28" s="33"/>
      <c r="G28" s="32"/>
      <c r="H28" s="32"/>
      <c r="I28" s="32"/>
      <c r="J28" s="22"/>
      <c r="K28" s="22"/>
      <c r="L28" s="22"/>
      <c r="M28" s="22"/>
      <c r="N28" s="22"/>
      <c r="O28" s="22"/>
      <c r="P28" s="22"/>
      <c r="Q28" s="22"/>
      <c r="R28" s="22"/>
      <c r="S28" s="3"/>
      <c r="U28" s="2"/>
      <c r="V28" s="3"/>
      <c r="X28" s="2"/>
    </row>
    <row r="29" spans="1:24" x14ac:dyDescent="0.25">
      <c r="A29" s="15">
        <v>45994</v>
      </c>
      <c r="B29" s="19">
        <v>0.31597222222222221</v>
      </c>
      <c r="C29" s="9" t="s">
        <v>196</v>
      </c>
      <c r="D29" s="9"/>
      <c r="E29" s="9"/>
      <c r="F29" s="33"/>
      <c r="G29" s="32"/>
      <c r="H29" s="32"/>
      <c r="I29" s="32"/>
      <c r="J29" s="22"/>
      <c r="K29" s="22"/>
      <c r="L29" s="22"/>
      <c r="M29" s="22"/>
      <c r="N29" s="22"/>
      <c r="O29" s="22"/>
      <c r="P29" s="22"/>
      <c r="Q29" s="22"/>
      <c r="R29" s="22"/>
      <c r="S29" s="3"/>
      <c r="U29" s="2"/>
      <c r="V29" s="3"/>
      <c r="X29" s="2"/>
    </row>
    <row r="30" spans="1:24" ht="52.5" customHeight="1" x14ac:dyDescent="0.25">
      <c r="A30" s="15">
        <v>45994</v>
      </c>
      <c r="B30" s="19">
        <v>0.48680555555555555</v>
      </c>
      <c r="C30" s="9" t="s">
        <v>197</v>
      </c>
      <c r="D30" s="34"/>
      <c r="E30" s="34"/>
      <c r="F30" s="35"/>
      <c r="G30" s="36"/>
      <c r="H30" s="36"/>
      <c r="I30" s="36"/>
      <c r="J30" s="22"/>
      <c r="K30" s="22"/>
      <c r="L30" s="22"/>
      <c r="M30" s="22"/>
      <c r="N30" s="22"/>
      <c r="O30" s="22"/>
      <c r="P30" s="22"/>
      <c r="Q30" s="22"/>
      <c r="R30" s="22"/>
      <c r="S30" s="3"/>
      <c r="U30" s="2"/>
      <c r="V30" s="3"/>
      <c r="X30" s="2"/>
    </row>
    <row r="31" spans="1:24" x14ac:dyDescent="0.25">
      <c r="A31" s="15">
        <v>45994</v>
      </c>
      <c r="B31" s="19">
        <v>0.56388888888888888</v>
      </c>
      <c r="C31" s="9" t="s">
        <v>198</v>
      </c>
      <c r="D31" s="9"/>
      <c r="E31" s="9"/>
      <c r="F31" s="9"/>
      <c r="G31" s="32"/>
      <c r="H31" s="32"/>
      <c r="I31" s="3"/>
      <c r="J31" s="22"/>
      <c r="K31" s="22"/>
      <c r="L31" s="22"/>
      <c r="M31" s="22"/>
      <c r="N31" s="22"/>
      <c r="O31" s="22"/>
      <c r="P31" s="22"/>
      <c r="Q31" s="22"/>
      <c r="R31" s="22"/>
      <c r="S31" s="3"/>
      <c r="U31" s="2"/>
      <c r="V31" s="3"/>
      <c r="X31" s="2"/>
    </row>
    <row r="32" spans="1:24" ht="30" x14ac:dyDescent="0.25">
      <c r="A32" s="15">
        <v>45994</v>
      </c>
      <c r="B32" s="19" t="s">
        <v>199</v>
      </c>
      <c r="C32" s="9" t="s">
        <v>200</v>
      </c>
      <c r="D32" s="9"/>
      <c r="E32" s="9"/>
      <c r="F32" s="9"/>
      <c r="G32" s="32"/>
      <c r="H32" s="32"/>
      <c r="I32" s="3"/>
      <c r="J32" s="3"/>
      <c r="K32" s="3"/>
      <c r="L32" s="3"/>
      <c r="M32" s="3"/>
      <c r="N32" s="3"/>
      <c r="O32" s="3"/>
      <c r="P32" s="3"/>
      <c r="Q32" s="3"/>
      <c r="R32" s="3"/>
      <c r="S32" s="3"/>
      <c r="U32" s="2"/>
      <c r="V32" s="3"/>
      <c r="X32" s="2"/>
    </row>
    <row r="33" spans="1:24" x14ac:dyDescent="0.25">
      <c r="A33" s="15">
        <v>45994</v>
      </c>
      <c r="B33" s="19">
        <v>0.76736111111111116</v>
      </c>
      <c r="C33" s="9" t="s">
        <v>201</v>
      </c>
      <c r="D33" s="9"/>
      <c r="E33" s="9"/>
      <c r="F33" s="9"/>
      <c r="G33" s="32"/>
      <c r="H33" s="32"/>
      <c r="I33" s="22"/>
      <c r="J33" s="3"/>
      <c r="K33" s="3"/>
      <c r="L33" s="3"/>
      <c r="M33" s="3"/>
      <c r="N33" s="3"/>
      <c r="O33" s="3"/>
      <c r="P33" s="3"/>
      <c r="Q33" s="3"/>
      <c r="R33" s="3"/>
      <c r="S33" s="3"/>
      <c r="U33" s="2"/>
      <c r="V33" s="3"/>
      <c r="X33" s="2"/>
    </row>
    <row r="34" spans="1:24" x14ac:dyDescent="0.25">
      <c r="A34" s="15">
        <v>45995</v>
      </c>
      <c r="B34" s="19">
        <v>0.30833333333333335</v>
      </c>
      <c r="C34" s="9" t="s">
        <v>202</v>
      </c>
      <c r="D34" s="9"/>
      <c r="E34" s="9"/>
      <c r="F34" s="9"/>
      <c r="G34" s="32"/>
      <c r="H34" s="32"/>
      <c r="I34" s="22"/>
      <c r="J34" s="22"/>
      <c r="K34" s="22"/>
      <c r="L34" s="22"/>
      <c r="M34" s="22"/>
      <c r="N34" s="22"/>
      <c r="O34" s="22"/>
      <c r="P34" s="22"/>
      <c r="Q34" s="22"/>
      <c r="R34" s="22"/>
      <c r="S34" s="3"/>
      <c r="U34" s="2"/>
      <c r="V34" s="3"/>
      <c r="X34" s="2"/>
    </row>
    <row r="35" spans="1:24" x14ac:dyDescent="0.25">
      <c r="A35" s="15">
        <v>45995</v>
      </c>
      <c r="B35" s="19">
        <v>0.37291666666666667</v>
      </c>
      <c r="C35" s="9" t="s">
        <v>203</v>
      </c>
      <c r="D35" s="9"/>
      <c r="E35" s="9"/>
      <c r="F35" s="9"/>
      <c r="G35" s="32"/>
      <c r="H35" s="32"/>
      <c r="I35" s="22"/>
      <c r="J35" s="22"/>
      <c r="K35" s="22"/>
      <c r="L35" s="22"/>
      <c r="M35" s="22"/>
      <c r="N35" s="22"/>
      <c r="O35" s="22"/>
      <c r="P35" s="22"/>
      <c r="Q35" s="22"/>
      <c r="R35" s="22"/>
      <c r="S35" s="3"/>
      <c r="U35" s="2"/>
      <c r="V35" s="3"/>
      <c r="X35" s="2"/>
    </row>
    <row r="36" spans="1:24" x14ac:dyDescent="0.25">
      <c r="A36" s="41">
        <v>46001</v>
      </c>
      <c r="B36" s="42">
        <v>0.31736111111111109</v>
      </c>
      <c r="C36" s="1" t="s">
        <v>204</v>
      </c>
      <c r="D36" s="9"/>
      <c r="E36" s="9"/>
      <c r="F36" s="9"/>
      <c r="G36" s="32"/>
      <c r="H36" s="32"/>
      <c r="I36" s="22"/>
      <c r="J36" s="22"/>
      <c r="K36" s="22"/>
      <c r="L36" s="22"/>
      <c r="M36" s="22"/>
      <c r="N36" s="22"/>
      <c r="O36" s="22"/>
      <c r="P36" s="22"/>
      <c r="Q36" s="22"/>
      <c r="R36" s="22"/>
      <c r="S36" s="3"/>
      <c r="U36" s="2"/>
      <c r="V36" s="3"/>
      <c r="X36" s="2"/>
    </row>
    <row r="37" spans="1:24" x14ac:dyDescent="0.25">
      <c r="A37" s="41">
        <v>46003</v>
      </c>
      <c r="B37" t="s">
        <v>205</v>
      </c>
      <c r="C37" s="1" t="s">
        <v>206</v>
      </c>
      <c r="D37" s="9"/>
      <c r="E37" s="9"/>
      <c r="F37" s="9"/>
      <c r="G37" s="32"/>
      <c r="H37" s="32"/>
      <c r="I37" s="22"/>
      <c r="J37" s="22"/>
      <c r="K37" s="22"/>
      <c r="L37" s="22"/>
      <c r="M37" s="22"/>
      <c r="N37" s="22"/>
      <c r="O37" s="22"/>
      <c r="P37" s="22"/>
      <c r="Q37" s="22"/>
      <c r="R37" s="22"/>
      <c r="S37" s="3"/>
      <c r="U37" s="2"/>
      <c r="V37" s="3"/>
      <c r="X37" s="2"/>
    </row>
    <row r="38" spans="1:24" ht="30" x14ac:dyDescent="0.25">
      <c r="A38" s="41">
        <v>46020</v>
      </c>
      <c r="B38" s="42">
        <v>0.44097222222222221</v>
      </c>
      <c r="C38" s="1" t="s">
        <v>207</v>
      </c>
      <c r="D38" s="9"/>
      <c r="E38" s="9"/>
      <c r="F38" s="9"/>
      <c r="G38" s="32"/>
      <c r="H38" s="32"/>
      <c r="I38" s="22"/>
      <c r="J38" s="22"/>
      <c r="K38" s="22"/>
      <c r="L38" s="22"/>
      <c r="M38" s="22"/>
      <c r="N38" s="22"/>
      <c r="O38" s="22"/>
      <c r="P38" s="22"/>
      <c r="Q38" s="22"/>
      <c r="R38" s="22"/>
      <c r="S38" s="3"/>
      <c r="U38" s="2"/>
      <c r="V38" s="3"/>
      <c r="X38" s="2"/>
    </row>
    <row r="39" spans="1:24" x14ac:dyDescent="0.25">
      <c r="A39" s="41">
        <v>46030</v>
      </c>
      <c r="B39" s="42">
        <v>0.41666666666666669</v>
      </c>
      <c r="C39" s="1" t="s">
        <v>208</v>
      </c>
      <c r="D39" s="9"/>
      <c r="E39" s="9"/>
      <c r="F39" s="9"/>
      <c r="G39" s="32"/>
      <c r="H39" s="32"/>
      <c r="I39" s="22"/>
      <c r="J39" s="22"/>
      <c r="K39" s="22"/>
      <c r="L39" s="22"/>
      <c r="M39" s="22"/>
      <c r="N39" s="22"/>
      <c r="O39" s="22"/>
      <c r="P39" s="22"/>
      <c r="Q39" s="22"/>
      <c r="R39" s="22"/>
      <c r="S39" s="3"/>
      <c r="U39" s="2"/>
      <c r="V39" s="3"/>
      <c r="X39" s="2"/>
    </row>
    <row r="40" spans="1:24" x14ac:dyDescent="0.25">
      <c r="A40" s="41">
        <v>46038</v>
      </c>
      <c r="B40" s="42">
        <v>0.63611111111111107</v>
      </c>
      <c r="C40" s="1" t="s">
        <v>209</v>
      </c>
      <c r="D40" s="9"/>
      <c r="E40" s="9"/>
      <c r="F40" s="9"/>
      <c r="G40" s="32"/>
      <c r="H40" s="32"/>
      <c r="I40" s="22"/>
      <c r="J40" s="22"/>
      <c r="K40" s="22"/>
      <c r="L40" s="22"/>
      <c r="M40" s="22"/>
      <c r="N40" s="22"/>
      <c r="O40" s="22"/>
      <c r="P40" s="22"/>
      <c r="Q40" s="22"/>
      <c r="R40" s="22"/>
      <c r="S40" s="3"/>
      <c r="U40" s="2"/>
      <c r="V40" s="3"/>
      <c r="X40" s="2"/>
    </row>
    <row r="41" spans="1:24" x14ac:dyDescent="0.25">
      <c r="A41" s="41">
        <v>46038</v>
      </c>
      <c r="B41" s="42">
        <v>0.65</v>
      </c>
      <c r="C41" s="1" t="s">
        <v>171</v>
      </c>
      <c r="D41" s="9"/>
      <c r="E41" s="9"/>
      <c r="F41" s="9"/>
      <c r="G41" s="32"/>
      <c r="H41" s="32"/>
      <c r="I41" s="22"/>
      <c r="J41" s="22"/>
      <c r="K41" s="22"/>
      <c r="L41" s="22"/>
      <c r="M41" s="22"/>
      <c r="N41" s="22"/>
      <c r="O41" s="22"/>
      <c r="P41" s="22"/>
      <c r="Q41" s="22"/>
      <c r="R41" s="22"/>
      <c r="S41" s="3"/>
      <c r="U41" s="2"/>
      <c r="V41" s="3"/>
      <c r="X41" s="2"/>
    </row>
    <row r="42" spans="1:24" x14ac:dyDescent="0.25">
      <c r="A42" s="41">
        <v>46041</v>
      </c>
      <c r="B42" s="42">
        <v>0.63611111111111107</v>
      </c>
      <c r="C42" s="1" t="s">
        <v>210</v>
      </c>
      <c r="D42" s="9"/>
      <c r="E42" s="9"/>
      <c r="F42" s="9"/>
      <c r="G42" s="32"/>
      <c r="H42" s="32"/>
      <c r="I42" s="22"/>
      <c r="J42" s="22"/>
      <c r="K42" s="22"/>
      <c r="L42" s="22"/>
      <c r="M42" s="22"/>
      <c r="N42" s="22"/>
      <c r="O42" s="22"/>
      <c r="P42" s="22"/>
      <c r="Q42" s="22"/>
      <c r="R42" s="22"/>
      <c r="S42" s="3"/>
      <c r="U42" s="2"/>
      <c r="V42" s="3"/>
      <c r="X42" s="2"/>
    </row>
    <row r="43" spans="1:24" x14ac:dyDescent="0.25">
      <c r="A43" s="41">
        <v>46041</v>
      </c>
      <c r="B43" s="42">
        <v>0.64722222222222225</v>
      </c>
      <c r="C43" s="1" t="s">
        <v>211</v>
      </c>
      <c r="D43" s="9"/>
      <c r="E43" s="9"/>
      <c r="F43" s="9"/>
      <c r="G43" s="32"/>
      <c r="H43" s="32"/>
      <c r="I43" s="22"/>
      <c r="J43" s="22"/>
      <c r="K43" s="22"/>
      <c r="L43" s="22"/>
      <c r="M43" s="22"/>
      <c r="N43" s="22"/>
      <c r="O43" s="22"/>
      <c r="P43" s="22"/>
      <c r="Q43" s="22"/>
      <c r="R43" s="22"/>
      <c r="S43" s="3"/>
      <c r="U43" s="2"/>
      <c r="V43" s="3"/>
      <c r="X43" s="2"/>
    </row>
    <row r="44" spans="1:24" ht="30" x14ac:dyDescent="0.25">
      <c r="A44" s="41">
        <v>46048</v>
      </c>
      <c r="B44" s="42">
        <v>0.3888888888888889</v>
      </c>
      <c r="C44" s="1" t="s">
        <v>212</v>
      </c>
      <c r="D44" s="9"/>
      <c r="E44" s="9"/>
      <c r="F44" s="9"/>
      <c r="G44" s="32"/>
      <c r="H44" s="32"/>
      <c r="I44" s="22"/>
      <c r="J44" s="22"/>
      <c r="K44" s="22"/>
      <c r="L44" s="22"/>
      <c r="M44" s="22"/>
      <c r="N44" s="22"/>
      <c r="O44" s="22"/>
      <c r="P44" s="22"/>
      <c r="Q44" s="22"/>
      <c r="R44" s="22"/>
      <c r="S44" s="3"/>
      <c r="U44" s="2"/>
      <c r="V44" s="3"/>
      <c r="X44" s="2"/>
    </row>
    <row r="45" spans="1:24" x14ac:dyDescent="0.25">
      <c r="A45" s="41">
        <v>46049</v>
      </c>
      <c r="B45" s="42">
        <v>0.57916666666666672</v>
      </c>
      <c r="C45" s="1" t="s">
        <v>180</v>
      </c>
      <c r="D45" s="9"/>
      <c r="E45" s="9"/>
      <c r="F45" s="9"/>
      <c r="G45" s="32"/>
      <c r="H45" s="32"/>
      <c r="I45" s="22"/>
      <c r="J45" s="22"/>
      <c r="K45" s="22"/>
      <c r="L45" s="22"/>
      <c r="M45" s="22"/>
      <c r="N45" s="22"/>
      <c r="O45" s="22"/>
      <c r="P45" s="22"/>
      <c r="Q45" s="22"/>
      <c r="R45" s="22"/>
      <c r="S45" s="3"/>
      <c r="U45" s="2"/>
      <c r="V45" s="3"/>
      <c r="X45" s="2"/>
    </row>
    <row r="46" spans="1:24" x14ac:dyDescent="0.25">
      <c r="A46" s="15">
        <v>46049</v>
      </c>
      <c r="B46" s="19">
        <v>0.58750000000000002</v>
      </c>
      <c r="C46" s="9" t="s">
        <v>171</v>
      </c>
      <c r="D46" s="9"/>
      <c r="E46" s="9"/>
      <c r="F46" s="9"/>
      <c r="G46" s="32"/>
      <c r="H46" s="32"/>
      <c r="I46" s="22"/>
      <c r="J46" s="22"/>
      <c r="K46" s="22"/>
      <c r="L46" s="22"/>
      <c r="M46" s="22"/>
      <c r="N46" s="22"/>
      <c r="O46" s="22"/>
      <c r="P46" s="22"/>
      <c r="Q46" s="22"/>
      <c r="R46" s="22"/>
      <c r="S46" s="3"/>
      <c r="U46" s="2"/>
      <c r="V46" s="3"/>
      <c r="X46" s="2"/>
    </row>
    <row r="47" spans="1:24" x14ac:dyDescent="0.25">
      <c r="A47" s="41">
        <v>46052</v>
      </c>
      <c r="B47" s="42">
        <v>0.66527777777777775</v>
      </c>
      <c r="C47" s="1" t="s">
        <v>213</v>
      </c>
      <c r="D47" s="9"/>
      <c r="E47" s="9"/>
      <c r="F47" s="9"/>
      <c r="G47" s="32"/>
      <c r="H47" s="32"/>
      <c r="I47" s="22"/>
      <c r="J47" s="22"/>
      <c r="K47" s="22"/>
      <c r="L47" s="22"/>
      <c r="M47" s="22"/>
      <c r="N47" s="22"/>
      <c r="O47" s="22"/>
      <c r="P47" s="22"/>
      <c r="Q47" s="22"/>
      <c r="R47" s="22"/>
      <c r="S47" s="3"/>
      <c r="U47" s="2"/>
      <c r="V47" s="3"/>
      <c r="X47" s="2"/>
    </row>
    <row r="48" spans="1:24" x14ac:dyDescent="0.25">
      <c r="A48" s="41">
        <v>46052</v>
      </c>
      <c r="B48" s="42">
        <v>0.68125000000000002</v>
      </c>
      <c r="C48" s="1" t="s">
        <v>42</v>
      </c>
      <c r="D48" s="9"/>
      <c r="E48" s="9"/>
      <c r="F48" s="9"/>
      <c r="G48" s="32"/>
      <c r="H48" s="32"/>
      <c r="I48" s="22"/>
      <c r="J48" s="22"/>
      <c r="K48" s="22"/>
      <c r="L48" s="22"/>
      <c r="M48" s="22"/>
      <c r="N48" s="22"/>
      <c r="O48" s="22"/>
      <c r="P48" s="22"/>
      <c r="Q48" s="22"/>
      <c r="R48" s="22"/>
      <c r="S48" s="3"/>
      <c r="U48" s="2"/>
      <c r="V48" s="3"/>
      <c r="X48" s="2"/>
    </row>
    <row r="49" spans="1:24" x14ac:dyDescent="0.25">
      <c r="A49" s="41">
        <v>46062</v>
      </c>
      <c r="B49" s="42">
        <v>0.56666666666666665</v>
      </c>
      <c r="C49" s="1" t="s">
        <v>214</v>
      </c>
      <c r="D49" s="9"/>
      <c r="E49" s="9"/>
      <c r="F49" s="9"/>
      <c r="G49" s="32"/>
      <c r="H49" s="32"/>
      <c r="I49" s="22"/>
      <c r="J49" s="22"/>
      <c r="K49" s="22"/>
      <c r="L49" s="22"/>
      <c r="M49" s="22"/>
      <c r="N49" s="22"/>
      <c r="O49" s="22"/>
      <c r="P49" s="22"/>
      <c r="Q49" s="22"/>
      <c r="R49" s="22"/>
      <c r="S49" s="3"/>
      <c r="U49" s="2"/>
      <c r="V49" s="3"/>
      <c r="X49" s="2"/>
    </row>
    <row r="50" spans="1:24" x14ac:dyDescent="0.25">
      <c r="B50" s="42">
        <v>0.57986111111111116</v>
      </c>
      <c r="C50" s="1" t="s">
        <v>214</v>
      </c>
      <c r="D50" s="9"/>
      <c r="E50" s="9"/>
      <c r="F50" s="9"/>
      <c r="G50" s="32"/>
      <c r="H50" s="32"/>
      <c r="I50" s="22"/>
      <c r="J50" s="22"/>
      <c r="K50" s="22"/>
      <c r="L50" s="22"/>
      <c r="M50" s="22"/>
      <c r="N50" s="22"/>
      <c r="O50" s="22"/>
      <c r="P50" s="22"/>
      <c r="Q50" s="22"/>
      <c r="R50" s="22"/>
      <c r="S50" s="3"/>
      <c r="U50" s="2"/>
      <c r="V50" s="3"/>
      <c r="X50" s="2"/>
    </row>
    <row r="51" spans="1:24" x14ac:dyDescent="0.25">
      <c r="B51" s="42">
        <v>0.64583333333333337</v>
      </c>
      <c r="C51" s="1" t="s">
        <v>215</v>
      </c>
      <c r="D51" s="9"/>
      <c r="E51" s="9"/>
      <c r="F51" s="9"/>
      <c r="G51" s="32"/>
      <c r="H51" s="32"/>
      <c r="I51" s="22"/>
      <c r="J51" s="22"/>
      <c r="K51" s="22"/>
      <c r="L51" s="22"/>
      <c r="M51" s="22"/>
      <c r="N51" s="22"/>
      <c r="O51" s="22"/>
      <c r="P51" s="22"/>
      <c r="Q51" s="22"/>
      <c r="R51" s="22"/>
      <c r="S51" s="3"/>
      <c r="U51" s="2"/>
      <c r="V51" s="3"/>
      <c r="X51" s="2"/>
    </row>
    <row r="52" spans="1:24" x14ac:dyDescent="0.25">
      <c r="A52" s="37">
        <v>46056</v>
      </c>
      <c r="B52" s="38" t="s">
        <v>30</v>
      </c>
      <c r="C52" s="9" t="s">
        <v>31</v>
      </c>
      <c r="D52" s="9"/>
      <c r="E52" s="9"/>
      <c r="F52" s="9"/>
      <c r="G52" s="32"/>
      <c r="H52" s="32"/>
      <c r="I52" s="22"/>
      <c r="J52" s="22"/>
      <c r="K52" s="22"/>
      <c r="L52" s="22"/>
      <c r="M52" s="22"/>
      <c r="N52" s="22"/>
      <c r="O52" s="22"/>
      <c r="P52" s="22"/>
      <c r="Q52" s="22"/>
      <c r="R52" s="22"/>
      <c r="S52" s="3"/>
      <c r="U52" s="2"/>
      <c r="V52" s="3"/>
      <c r="X52" s="2"/>
    </row>
    <row r="53" spans="1:24" x14ac:dyDescent="0.25">
      <c r="A53" s="41">
        <v>46094</v>
      </c>
      <c r="B53" s="42">
        <v>0.64583333333333337</v>
      </c>
      <c r="C53" s="1" t="s">
        <v>216</v>
      </c>
      <c r="D53" s="9"/>
      <c r="E53" s="9"/>
      <c r="F53" s="9"/>
      <c r="G53" s="32"/>
      <c r="H53" s="32"/>
      <c r="I53" s="22"/>
      <c r="J53" s="22"/>
      <c r="K53" s="22"/>
      <c r="L53" s="22"/>
      <c r="M53" s="22"/>
      <c r="N53" s="22"/>
      <c r="O53" s="22"/>
      <c r="P53" s="22"/>
      <c r="Q53" s="22"/>
      <c r="R53" s="22"/>
      <c r="S53" s="3"/>
      <c r="U53" s="2"/>
      <c r="V53" s="3"/>
      <c r="X53" s="2"/>
    </row>
    <row r="54" spans="1:24" x14ac:dyDescent="0.25">
      <c r="A54" s="15">
        <v>46097</v>
      </c>
      <c r="B54" s="26">
        <v>0.59930555555555554</v>
      </c>
      <c r="C54" s="9" t="s">
        <v>217</v>
      </c>
      <c r="D54" s="9"/>
      <c r="E54" s="9"/>
      <c r="F54" s="9"/>
      <c r="G54" s="32"/>
      <c r="H54" s="32"/>
      <c r="I54" s="22"/>
      <c r="J54" s="22"/>
      <c r="K54" s="22"/>
      <c r="L54" s="22"/>
      <c r="M54" s="22"/>
      <c r="N54" s="22"/>
      <c r="O54" s="22"/>
      <c r="P54" s="22"/>
      <c r="Q54" s="22"/>
      <c r="R54" s="22"/>
      <c r="S54" s="3"/>
      <c r="U54" s="2"/>
      <c r="V54" s="3"/>
      <c r="X54" s="2"/>
    </row>
    <row r="55" spans="1:24" x14ac:dyDescent="0.25">
      <c r="A55" s="41">
        <v>46104</v>
      </c>
      <c r="B55" s="42" t="s">
        <v>218</v>
      </c>
      <c r="C55" s="1" t="s">
        <v>219</v>
      </c>
      <c r="D55" s="9"/>
      <c r="E55" s="9"/>
      <c r="F55" s="9"/>
      <c r="G55" s="32"/>
      <c r="H55" s="32"/>
      <c r="I55" s="22"/>
      <c r="J55" s="22"/>
      <c r="K55" s="22"/>
      <c r="L55" s="22"/>
      <c r="M55" s="22"/>
      <c r="N55" s="22"/>
      <c r="O55" s="22"/>
      <c r="P55" s="22"/>
      <c r="Q55" s="22"/>
      <c r="R55" s="22"/>
      <c r="S55" s="3"/>
      <c r="U55" s="2"/>
      <c r="V55" s="3"/>
      <c r="X55" s="2"/>
    </row>
    <row r="56" spans="1:24" ht="30" x14ac:dyDescent="0.25">
      <c r="A56" s="41">
        <v>46108</v>
      </c>
      <c r="B56" t="s">
        <v>220</v>
      </c>
      <c r="C56" s="1" t="s">
        <v>221</v>
      </c>
      <c r="D56" s="9"/>
      <c r="E56" s="9"/>
      <c r="F56" s="9"/>
      <c r="G56" s="32"/>
      <c r="H56" s="32"/>
      <c r="I56" s="22"/>
      <c r="J56" s="22"/>
      <c r="K56" s="22"/>
      <c r="L56" s="22"/>
      <c r="M56" s="22"/>
      <c r="N56" s="22"/>
      <c r="O56" s="22"/>
      <c r="P56" s="22"/>
      <c r="Q56" s="22"/>
      <c r="R56" s="22"/>
      <c r="S56" s="3"/>
      <c r="U56" s="2"/>
      <c r="V56" s="3"/>
      <c r="X56" s="2"/>
    </row>
    <row r="57" spans="1:24" ht="30" x14ac:dyDescent="0.25">
      <c r="A57" s="41">
        <v>46111</v>
      </c>
      <c r="B57" s="42">
        <v>0.6069444444444444</v>
      </c>
      <c r="C57" s="1" t="s">
        <v>222</v>
      </c>
      <c r="D57" s="9"/>
      <c r="E57" s="9"/>
      <c r="F57" s="9"/>
      <c r="G57" s="32"/>
      <c r="H57" s="32"/>
      <c r="I57" s="22"/>
      <c r="J57" s="22"/>
      <c r="K57" s="22"/>
      <c r="L57" s="22"/>
      <c r="M57" s="22"/>
      <c r="N57" s="22"/>
      <c r="O57" s="22"/>
      <c r="P57" s="22"/>
      <c r="Q57" s="22"/>
      <c r="R57" s="22"/>
      <c r="S57" s="3"/>
      <c r="U57" s="2"/>
      <c r="V57" s="3"/>
      <c r="X57" s="2"/>
    </row>
    <row r="58" spans="1:24" x14ac:dyDescent="0.25">
      <c r="A58" s="41">
        <v>46114</v>
      </c>
      <c r="B58" s="42">
        <v>0.30069444444444443</v>
      </c>
      <c r="C58" s="1" t="s">
        <v>236</v>
      </c>
      <c r="D58" s="9"/>
      <c r="E58" s="9"/>
      <c r="F58" s="9"/>
      <c r="G58" s="32"/>
      <c r="H58" s="32"/>
      <c r="I58" s="22"/>
      <c r="J58" s="22"/>
      <c r="K58" s="22"/>
      <c r="L58" s="22"/>
      <c r="M58" s="22"/>
      <c r="N58" s="22"/>
      <c r="O58" s="22"/>
      <c r="P58" s="22"/>
      <c r="Q58" s="22"/>
      <c r="R58" s="22"/>
      <c r="S58" s="3"/>
      <c r="U58" s="2"/>
      <c r="V58" s="3"/>
      <c r="X58" s="2"/>
    </row>
    <row r="59" spans="1:24" x14ac:dyDescent="0.25">
      <c r="A59" s="41">
        <v>46120</v>
      </c>
      <c r="B59" t="s">
        <v>238</v>
      </c>
      <c r="C59" s="1" t="s">
        <v>239</v>
      </c>
      <c r="D59" s="9"/>
      <c r="E59" s="9"/>
      <c r="F59" s="9"/>
      <c r="G59" s="32"/>
      <c r="H59" s="32"/>
      <c r="I59" s="22"/>
      <c r="J59" s="22"/>
      <c r="K59" s="22"/>
      <c r="L59" s="22"/>
      <c r="M59" s="22"/>
      <c r="N59" s="22"/>
      <c r="O59" s="22"/>
      <c r="P59" s="22"/>
      <c r="Q59" s="22"/>
      <c r="R59" s="22"/>
      <c r="S59" s="3"/>
      <c r="U59" s="2"/>
      <c r="V59" s="3"/>
      <c r="X59" s="2"/>
    </row>
    <row r="60" spans="1:24" x14ac:dyDescent="0.25">
      <c r="A60" s="41">
        <v>46129</v>
      </c>
      <c r="B60" s="42">
        <v>0.39444444444444443</v>
      </c>
      <c r="C60" s="1" t="s">
        <v>237</v>
      </c>
      <c r="D60" s="9"/>
      <c r="E60" s="9"/>
      <c r="F60" s="9"/>
      <c r="G60" s="32"/>
      <c r="H60" s="32"/>
      <c r="I60" s="22"/>
      <c r="J60" s="22"/>
      <c r="K60" s="22"/>
      <c r="L60" s="22"/>
      <c r="M60" s="22"/>
      <c r="N60" s="22"/>
      <c r="O60" s="22"/>
      <c r="P60" s="22"/>
      <c r="Q60" s="22"/>
      <c r="R60" s="22"/>
      <c r="S60" s="3"/>
      <c r="U60" s="2"/>
      <c r="V60" s="3"/>
      <c r="X60" s="2"/>
    </row>
    <row r="61" spans="1:24" x14ac:dyDescent="0.25">
      <c r="A61" s="41">
        <v>46136</v>
      </c>
      <c r="B61" s="42">
        <v>0.3125</v>
      </c>
      <c r="C61" s="1" t="s">
        <v>237</v>
      </c>
      <c r="D61" s="9"/>
      <c r="E61" s="9"/>
      <c r="F61" s="9"/>
      <c r="G61" s="32"/>
      <c r="H61" s="32"/>
      <c r="I61" s="22"/>
      <c r="J61" s="22"/>
      <c r="K61" s="22"/>
      <c r="L61" s="22"/>
      <c r="M61" s="22"/>
      <c r="N61" s="22"/>
      <c r="O61" s="22"/>
      <c r="P61" s="22"/>
      <c r="Q61" s="22"/>
      <c r="R61" s="22"/>
      <c r="S61" s="3"/>
      <c r="U61" s="2"/>
      <c r="V61" s="3"/>
      <c r="X61" s="2"/>
    </row>
    <row r="62" spans="1:24" x14ac:dyDescent="0.25">
      <c r="A62" s="15">
        <v>46142</v>
      </c>
      <c r="B62" s="19">
        <v>0.56874999999999998</v>
      </c>
      <c r="C62" s="9" t="s">
        <v>237</v>
      </c>
      <c r="D62" s="9"/>
      <c r="E62" s="9"/>
      <c r="F62" s="9"/>
      <c r="G62" s="32"/>
      <c r="H62" s="32"/>
      <c r="I62" s="22"/>
      <c r="J62" s="22"/>
      <c r="K62" s="22"/>
      <c r="L62" s="22"/>
      <c r="M62" s="22"/>
      <c r="N62" s="22"/>
      <c r="O62" s="22"/>
      <c r="P62" s="22"/>
      <c r="Q62" s="22"/>
      <c r="R62" s="22"/>
      <c r="S62" s="3"/>
      <c r="U62" s="2"/>
      <c r="V62" s="3"/>
      <c r="X62" s="2"/>
    </row>
    <row r="63" spans="1:24" x14ac:dyDescent="0.25">
      <c r="A63" s="15">
        <v>46168</v>
      </c>
      <c r="B63" s="19"/>
      <c r="C63" s="9" t="s">
        <v>259</v>
      </c>
      <c r="D63" s="9"/>
      <c r="E63" s="9"/>
      <c r="F63" s="9"/>
      <c r="G63" s="32"/>
      <c r="H63" s="32"/>
      <c r="I63" s="22"/>
      <c r="J63" s="22"/>
      <c r="K63" s="22"/>
      <c r="L63" s="22"/>
      <c r="M63" s="22"/>
      <c r="N63" s="22"/>
      <c r="O63" s="22"/>
      <c r="P63" s="22"/>
      <c r="Q63" s="22"/>
      <c r="R63" s="22"/>
      <c r="S63" s="3"/>
      <c r="U63" s="2"/>
      <c r="V63" s="3"/>
      <c r="X63" s="2"/>
    </row>
    <row r="64" spans="1:24" x14ac:dyDescent="0.25">
      <c r="A64" s="7"/>
      <c r="B64" s="19"/>
      <c r="C64" s="9"/>
      <c r="D64" s="9"/>
      <c r="E64" s="9"/>
      <c r="F64" s="9"/>
      <c r="G64" s="32"/>
      <c r="H64" s="32"/>
      <c r="I64" s="22"/>
      <c r="J64" s="22"/>
      <c r="K64" s="22"/>
      <c r="L64" s="22"/>
      <c r="M64" s="22"/>
      <c r="N64" s="22"/>
      <c r="O64" s="22"/>
      <c r="P64" s="22"/>
      <c r="Q64" s="22"/>
      <c r="R64" s="22"/>
      <c r="S64" s="3"/>
      <c r="U64" s="2"/>
      <c r="V64" s="3"/>
      <c r="X64" s="2"/>
    </row>
    <row r="65" spans="1:24" x14ac:dyDescent="0.25">
      <c r="A65" s="15"/>
      <c r="B65" s="19"/>
      <c r="C65" s="9"/>
      <c r="D65" s="9"/>
      <c r="E65" s="9"/>
      <c r="F65" s="9"/>
      <c r="G65" s="32"/>
      <c r="H65" s="32"/>
      <c r="I65" s="22"/>
      <c r="J65" s="22"/>
      <c r="K65" s="22"/>
      <c r="L65" s="22"/>
      <c r="M65" s="22"/>
      <c r="N65" s="22"/>
      <c r="O65" s="22"/>
      <c r="P65" s="22"/>
      <c r="Q65" s="22"/>
      <c r="R65" s="22"/>
      <c r="S65" s="3"/>
      <c r="U65" s="2"/>
      <c r="V65" s="3"/>
      <c r="X65" s="2"/>
    </row>
    <row r="66" spans="1:24" x14ac:dyDescent="0.25">
      <c r="A66" s="7"/>
      <c r="B66" s="19"/>
      <c r="C66" s="9"/>
      <c r="D66" s="9"/>
      <c r="E66" s="9"/>
      <c r="F66" s="9"/>
      <c r="G66" s="32"/>
      <c r="H66" s="32"/>
      <c r="I66" s="22"/>
      <c r="J66" s="22"/>
      <c r="K66" s="22"/>
      <c r="L66" s="22"/>
      <c r="M66" s="22"/>
      <c r="N66" s="22"/>
      <c r="O66" s="22"/>
      <c r="P66" s="22"/>
      <c r="Q66" s="22"/>
      <c r="R66" s="22"/>
      <c r="S66" s="3"/>
      <c r="U66" s="2"/>
      <c r="V66" s="3"/>
      <c r="X66" s="2"/>
    </row>
    <row r="67" spans="1:24" x14ac:dyDescent="0.25">
      <c r="A67" s="7"/>
      <c r="B67" s="19"/>
      <c r="C67" s="9"/>
      <c r="D67" s="9"/>
      <c r="E67" s="9"/>
      <c r="F67" s="9"/>
      <c r="G67" s="32"/>
      <c r="H67" s="32"/>
      <c r="I67" s="22"/>
      <c r="J67" s="22"/>
      <c r="K67" s="22"/>
      <c r="L67" s="22"/>
      <c r="M67" s="22"/>
      <c r="N67" s="22"/>
      <c r="O67" s="22"/>
      <c r="P67" s="22"/>
      <c r="Q67" s="22"/>
      <c r="R67" s="22"/>
      <c r="S67" s="3"/>
      <c r="U67" s="2"/>
      <c r="V67" s="3"/>
      <c r="X67" s="2"/>
    </row>
    <row r="68" spans="1:24" x14ac:dyDescent="0.25">
      <c r="A68" s="7"/>
      <c r="B68" s="19"/>
      <c r="C68" s="9"/>
      <c r="D68" s="9"/>
      <c r="E68" s="9"/>
      <c r="F68" s="9"/>
      <c r="G68" s="32"/>
      <c r="H68" s="32"/>
      <c r="I68" s="3"/>
      <c r="J68" s="22"/>
      <c r="K68" s="22"/>
      <c r="L68" s="22"/>
      <c r="M68" s="22"/>
      <c r="N68" s="22"/>
      <c r="O68" s="22"/>
      <c r="P68" s="22"/>
      <c r="Q68" s="22"/>
      <c r="R68" s="22"/>
      <c r="S68" s="3"/>
      <c r="U68" s="2"/>
      <c r="V68" s="3"/>
      <c r="X68" s="2"/>
    </row>
    <row r="69" spans="1:24" x14ac:dyDescent="0.25">
      <c r="A69" s="7"/>
      <c r="B69" s="7"/>
      <c r="C69" s="9"/>
      <c r="D69" s="9"/>
      <c r="E69" s="9"/>
      <c r="F69" s="9"/>
      <c r="G69" s="32"/>
      <c r="H69" s="32"/>
      <c r="I69" s="3"/>
      <c r="J69" s="3"/>
      <c r="K69" s="3"/>
      <c r="L69" s="3"/>
      <c r="M69" s="3"/>
      <c r="N69" s="3"/>
      <c r="O69" s="3"/>
      <c r="P69" s="3"/>
      <c r="Q69" s="3"/>
      <c r="R69" s="3"/>
      <c r="S69" s="3"/>
      <c r="U69" s="2"/>
      <c r="V69" s="3"/>
      <c r="X69" s="2"/>
    </row>
    <row r="70" spans="1:24" x14ac:dyDescent="0.25">
      <c r="A70" s="7"/>
      <c r="B70" s="7"/>
      <c r="C70" s="9"/>
      <c r="D70" s="9"/>
      <c r="E70" s="9"/>
      <c r="F70" s="9"/>
      <c r="G70" s="32"/>
      <c r="H70" s="32"/>
      <c r="I70" s="22"/>
      <c r="J70" s="3"/>
      <c r="K70" s="3"/>
      <c r="L70" s="3"/>
      <c r="M70" s="3"/>
      <c r="N70" s="3"/>
      <c r="O70" s="3"/>
      <c r="P70" s="3"/>
      <c r="Q70" s="3"/>
      <c r="R70" s="3"/>
      <c r="S70" s="3"/>
      <c r="U70" s="2"/>
      <c r="V70" s="3"/>
      <c r="X70" s="2"/>
    </row>
    <row r="71" spans="1:24" x14ac:dyDescent="0.25">
      <c r="A71" s="15"/>
      <c r="B71" s="19"/>
      <c r="C71" s="9"/>
      <c r="D71" s="9"/>
      <c r="E71" s="9"/>
      <c r="F71" s="9"/>
      <c r="G71" s="32"/>
      <c r="H71" s="32"/>
      <c r="I71" s="22"/>
      <c r="J71" s="22"/>
      <c r="K71" s="22"/>
      <c r="L71" s="22"/>
      <c r="M71" s="22"/>
      <c r="N71" s="22"/>
      <c r="O71" s="22"/>
      <c r="P71" s="22"/>
      <c r="Q71" s="22"/>
      <c r="R71" s="22"/>
      <c r="S71" s="3"/>
      <c r="U71" s="2"/>
      <c r="V71" s="3"/>
      <c r="X71" s="2"/>
    </row>
    <row r="72" spans="1:24" x14ac:dyDescent="0.25">
      <c r="A72" s="7"/>
      <c r="B72" s="19"/>
      <c r="C72" s="9"/>
      <c r="D72" s="9"/>
      <c r="E72" s="9"/>
      <c r="F72" s="9"/>
      <c r="G72" s="32"/>
      <c r="H72" s="32"/>
      <c r="I72" s="22"/>
      <c r="J72" s="22"/>
      <c r="K72" s="22"/>
      <c r="L72" s="22"/>
      <c r="M72" s="22"/>
      <c r="N72" s="22"/>
      <c r="O72" s="22"/>
      <c r="P72" s="22"/>
      <c r="Q72" s="22"/>
      <c r="R72" s="22"/>
      <c r="S72" s="3"/>
      <c r="U72" s="2"/>
      <c r="V72" s="3"/>
      <c r="X72" s="2"/>
    </row>
    <row r="73" spans="1:24" x14ac:dyDescent="0.25">
      <c r="A73" s="15"/>
      <c r="B73" s="19"/>
      <c r="C73" s="9"/>
      <c r="D73" s="9"/>
      <c r="E73" s="9"/>
      <c r="F73" s="9"/>
      <c r="G73" s="32"/>
      <c r="H73" s="32"/>
      <c r="I73" s="22"/>
      <c r="J73" s="22"/>
      <c r="K73" s="22"/>
      <c r="L73" s="22"/>
      <c r="M73" s="22"/>
      <c r="N73" s="22"/>
      <c r="O73" s="22"/>
      <c r="P73" s="22"/>
      <c r="Q73" s="22"/>
      <c r="R73" s="22"/>
      <c r="S73" s="3"/>
      <c r="U73" s="2"/>
      <c r="V73" s="3"/>
      <c r="X73" s="2"/>
    </row>
    <row r="74" spans="1:24" x14ac:dyDescent="0.25">
      <c r="A74" s="15"/>
      <c r="B74" s="19"/>
      <c r="C74" s="9"/>
      <c r="D74" s="9"/>
      <c r="E74" s="9"/>
      <c r="F74" s="9"/>
      <c r="G74" s="32"/>
      <c r="H74" s="32"/>
      <c r="I74" s="22"/>
      <c r="J74" s="22"/>
      <c r="K74" s="22"/>
      <c r="L74" s="22"/>
      <c r="M74" s="22"/>
      <c r="N74" s="22"/>
      <c r="O74" s="22"/>
      <c r="P74" s="22"/>
      <c r="Q74" s="22"/>
      <c r="R74" s="22"/>
      <c r="S74" s="3"/>
      <c r="U74" s="2"/>
      <c r="V74" s="3"/>
      <c r="X74" s="2"/>
    </row>
    <row r="75" spans="1:24" x14ac:dyDescent="0.25">
      <c r="A75" s="15"/>
      <c r="B75" s="19"/>
      <c r="C75" s="9"/>
      <c r="D75" s="9"/>
      <c r="E75" s="9"/>
      <c r="F75" s="9"/>
      <c r="G75" s="32"/>
      <c r="H75" s="32"/>
      <c r="I75" s="22"/>
      <c r="J75" s="22"/>
      <c r="K75" s="22"/>
      <c r="L75" s="22"/>
      <c r="M75" s="22"/>
      <c r="N75" s="22"/>
      <c r="O75" s="22"/>
      <c r="P75" s="22"/>
      <c r="Q75" s="22"/>
      <c r="R75" s="22"/>
      <c r="S75" s="3"/>
      <c r="U75" s="2"/>
      <c r="V75" s="3"/>
      <c r="X75" s="2"/>
    </row>
    <row r="76" spans="1:24" x14ac:dyDescent="0.25">
      <c r="A76" s="15"/>
      <c r="B76" s="19"/>
      <c r="C76" s="9"/>
      <c r="D76" s="9"/>
      <c r="E76" s="9"/>
      <c r="F76" s="9"/>
      <c r="G76" s="32"/>
      <c r="H76" s="32"/>
      <c r="I76" s="22"/>
      <c r="J76" s="22"/>
      <c r="K76" s="22"/>
      <c r="L76" s="22"/>
      <c r="M76" s="22"/>
      <c r="N76" s="22"/>
      <c r="O76" s="22"/>
      <c r="P76" s="22"/>
      <c r="Q76" s="22"/>
      <c r="R76" s="22"/>
      <c r="S76" s="3"/>
      <c r="U76" s="2"/>
      <c r="V76" s="3"/>
      <c r="X76" s="2"/>
    </row>
    <row r="77" spans="1:24" x14ac:dyDescent="0.25">
      <c r="A77" s="15"/>
      <c r="B77" s="19"/>
      <c r="C77" s="9"/>
      <c r="D77" s="9"/>
      <c r="E77" s="9"/>
      <c r="F77" s="9"/>
      <c r="G77" s="32"/>
      <c r="H77" s="32"/>
      <c r="I77" s="3"/>
      <c r="J77" s="22"/>
      <c r="K77" s="22"/>
      <c r="L77" s="22"/>
      <c r="M77" s="22"/>
      <c r="N77" s="22"/>
      <c r="O77" s="22"/>
      <c r="P77" s="22"/>
      <c r="Q77" s="22"/>
      <c r="R77" s="22"/>
      <c r="S77" s="3"/>
      <c r="U77" s="2"/>
      <c r="V77" s="3"/>
      <c r="X77" s="2"/>
    </row>
    <row r="78" spans="1:24" x14ac:dyDescent="0.25">
      <c r="A78" s="7"/>
      <c r="B78" s="7"/>
      <c r="C78" s="9"/>
      <c r="D78" s="9"/>
      <c r="E78" s="9"/>
      <c r="F78" s="9"/>
      <c r="G78" s="32"/>
      <c r="H78" s="32"/>
      <c r="I78" s="3"/>
      <c r="J78" s="3"/>
      <c r="K78" s="3"/>
      <c r="L78" s="3"/>
      <c r="M78" s="3"/>
      <c r="N78" s="3"/>
      <c r="O78" s="3"/>
      <c r="P78" s="3"/>
      <c r="Q78" s="3"/>
      <c r="R78" s="3"/>
      <c r="S78" s="3"/>
      <c r="U78" s="2"/>
      <c r="V78" s="3"/>
      <c r="X78" s="2"/>
    </row>
    <row r="79" spans="1:24" x14ac:dyDescent="0.25">
      <c r="A79" s="7"/>
      <c r="B79" s="7"/>
      <c r="C79" s="9"/>
      <c r="D79" s="9"/>
      <c r="E79" s="9"/>
      <c r="F79" s="9"/>
      <c r="G79" s="32"/>
      <c r="H79" s="32"/>
      <c r="I79" s="3"/>
      <c r="J79" s="3"/>
      <c r="K79" s="3"/>
      <c r="L79" s="3"/>
      <c r="M79" s="3"/>
      <c r="N79" s="3"/>
      <c r="O79" s="3"/>
      <c r="P79" s="3"/>
      <c r="Q79" s="3"/>
      <c r="R79" s="3"/>
      <c r="S79" s="3"/>
      <c r="U79" s="2"/>
      <c r="V79" s="3"/>
      <c r="X79" s="2"/>
    </row>
    <row r="80" spans="1:24" x14ac:dyDescent="0.25">
      <c r="A80" s="7"/>
      <c r="B80" s="7"/>
      <c r="C80" s="9"/>
      <c r="D80" s="9"/>
      <c r="E80" s="9"/>
      <c r="F80" s="9"/>
      <c r="G80" s="32"/>
      <c r="H80" s="32"/>
      <c r="I80" s="3"/>
      <c r="J80" s="3"/>
      <c r="K80" s="3"/>
      <c r="L80" s="3"/>
      <c r="M80" s="3"/>
      <c r="N80" s="3"/>
      <c r="O80" s="3"/>
      <c r="P80" s="3"/>
      <c r="Q80" s="3"/>
      <c r="R80" s="3"/>
      <c r="S80" s="3"/>
      <c r="U80" s="2"/>
      <c r="V80" s="3"/>
      <c r="X80" s="2"/>
    </row>
    <row r="81" spans="1:24" x14ac:dyDescent="0.25">
      <c r="A81" s="7"/>
      <c r="B81" s="7"/>
      <c r="C81" s="9"/>
      <c r="D81" s="9"/>
      <c r="E81" s="9"/>
      <c r="F81" s="9"/>
      <c r="G81" s="32"/>
      <c r="H81" s="32"/>
      <c r="I81" s="3"/>
      <c r="J81" s="3"/>
      <c r="K81" s="3"/>
      <c r="L81" s="3"/>
      <c r="M81" s="3"/>
      <c r="N81" s="3"/>
      <c r="O81" s="3"/>
      <c r="P81" s="3"/>
      <c r="Q81" s="3"/>
      <c r="R81" s="3"/>
      <c r="S81" s="3"/>
      <c r="U81" s="2"/>
      <c r="V81" s="3"/>
      <c r="X81" s="2"/>
    </row>
    <row r="82" spans="1:24" x14ac:dyDescent="0.25">
      <c r="A82" s="7"/>
      <c r="B82" s="7"/>
      <c r="C82" s="9"/>
      <c r="D82" s="9"/>
      <c r="E82" s="9"/>
      <c r="F82" s="9"/>
      <c r="G82" s="32"/>
      <c r="H82" s="32"/>
      <c r="I82" s="3"/>
      <c r="J82" s="3"/>
      <c r="K82" s="3"/>
      <c r="L82" s="3"/>
      <c r="M82" s="3"/>
      <c r="N82" s="3"/>
      <c r="O82" s="3"/>
      <c r="P82" s="3"/>
      <c r="Q82" s="3"/>
      <c r="R82" s="3"/>
      <c r="S82" s="3"/>
      <c r="U82" s="2"/>
      <c r="V82" s="3"/>
      <c r="X82" s="2"/>
    </row>
    <row r="83" spans="1:24" x14ac:dyDescent="0.25">
      <c r="A83" s="7"/>
      <c r="B83" s="7"/>
      <c r="C83" s="9"/>
      <c r="D83" s="9"/>
      <c r="E83" s="9"/>
      <c r="F83" s="9"/>
      <c r="G83" s="32"/>
      <c r="H83" s="32"/>
      <c r="I83" s="3"/>
      <c r="J83" s="3"/>
      <c r="K83" s="3"/>
      <c r="L83" s="3"/>
      <c r="M83" s="3"/>
      <c r="N83" s="3"/>
      <c r="O83" s="3"/>
      <c r="P83" s="3"/>
      <c r="Q83" s="3"/>
      <c r="R83" s="3"/>
      <c r="S83" s="3"/>
      <c r="U83" s="2"/>
      <c r="V83" s="3"/>
      <c r="X83" s="2"/>
    </row>
    <row r="84" spans="1:24" x14ac:dyDescent="0.25">
      <c r="A84" s="7"/>
      <c r="B84" s="7"/>
      <c r="C84" s="9"/>
      <c r="D84" s="9"/>
      <c r="E84" s="9"/>
      <c r="F84" s="9"/>
      <c r="G84" s="32"/>
      <c r="H84" s="32"/>
      <c r="I84" s="3"/>
      <c r="J84" s="3"/>
      <c r="K84" s="3"/>
      <c r="L84" s="3"/>
      <c r="M84" s="3"/>
      <c r="N84" s="3"/>
      <c r="O84" s="3"/>
      <c r="P84" s="3"/>
      <c r="Q84" s="3"/>
      <c r="R84" s="3"/>
      <c r="S84" s="3"/>
      <c r="U84" s="2"/>
      <c r="V84" s="3"/>
      <c r="X84" s="2"/>
    </row>
    <row r="85" spans="1:24" x14ac:dyDescent="0.25">
      <c r="A85" s="7"/>
      <c r="B85" s="7"/>
      <c r="C85" s="9"/>
      <c r="D85" s="9"/>
      <c r="E85" s="9"/>
      <c r="F85" s="9"/>
      <c r="G85" s="32"/>
      <c r="H85" s="32"/>
      <c r="I85" s="3"/>
      <c r="J85" s="3"/>
      <c r="K85" s="3"/>
      <c r="L85" s="3"/>
      <c r="M85" s="3"/>
      <c r="N85" s="3"/>
      <c r="O85" s="3"/>
      <c r="P85" s="3"/>
      <c r="Q85" s="3"/>
      <c r="R85" s="3"/>
      <c r="S85" s="3"/>
      <c r="U85" s="2"/>
      <c r="V85" s="3"/>
      <c r="X85" s="2"/>
    </row>
    <row r="86" spans="1:24" x14ac:dyDescent="0.25">
      <c r="A86" s="7"/>
      <c r="B86" s="7"/>
      <c r="C86" s="9"/>
      <c r="D86" s="9"/>
      <c r="E86" s="9"/>
      <c r="F86" s="9"/>
      <c r="G86" s="32"/>
      <c r="H86" s="32"/>
      <c r="I86" s="3"/>
      <c r="J86" s="3"/>
      <c r="K86" s="3"/>
      <c r="L86" s="3"/>
      <c r="M86" s="3"/>
      <c r="N86" s="3"/>
      <c r="O86" s="3"/>
      <c r="P86" s="3"/>
      <c r="Q86" s="3"/>
      <c r="R86" s="3"/>
      <c r="S86" s="3"/>
      <c r="U86" s="2"/>
      <c r="V86" s="3"/>
      <c r="X86" s="2"/>
    </row>
    <row r="87" spans="1:24" x14ac:dyDescent="0.25">
      <c r="A87" s="7"/>
      <c r="B87" s="7"/>
      <c r="C87" s="9"/>
      <c r="D87" s="9"/>
      <c r="E87" s="9"/>
      <c r="F87" s="9"/>
      <c r="G87" s="32"/>
      <c r="H87" s="32"/>
      <c r="I87" s="3"/>
      <c r="J87" s="3"/>
      <c r="K87" s="3"/>
      <c r="L87" s="3"/>
      <c r="M87" s="3"/>
      <c r="N87" s="3"/>
      <c r="O87" s="3"/>
      <c r="P87" s="3"/>
      <c r="Q87" s="3"/>
      <c r="R87" s="3"/>
      <c r="S87" s="3"/>
      <c r="U87" s="2"/>
      <c r="V87" s="3"/>
      <c r="X87" s="2"/>
    </row>
    <row r="88" spans="1:24" x14ac:dyDescent="0.25">
      <c r="A88" s="7"/>
      <c r="B88" s="7"/>
      <c r="C88" s="9"/>
      <c r="D88" s="9"/>
      <c r="E88" s="9"/>
      <c r="F88" s="9"/>
      <c r="G88" s="32"/>
      <c r="H88" s="32"/>
      <c r="I88" s="3"/>
      <c r="J88" s="3"/>
      <c r="K88" s="3"/>
      <c r="L88" s="3"/>
      <c r="M88" s="3"/>
      <c r="N88" s="3"/>
      <c r="O88" s="3"/>
      <c r="P88" s="3"/>
      <c r="Q88" s="3"/>
      <c r="R88" s="3"/>
      <c r="S88" s="3"/>
      <c r="U88" s="2"/>
      <c r="V88" s="3"/>
      <c r="X88" s="2"/>
    </row>
    <row r="89" spans="1:24" x14ac:dyDescent="0.25">
      <c r="A89" s="7"/>
      <c r="B89" s="7"/>
      <c r="C89" s="9"/>
      <c r="D89" s="9"/>
      <c r="E89" s="9"/>
      <c r="F89" s="9"/>
      <c r="G89" s="32"/>
      <c r="H89" s="32"/>
      <c r="I89" s="3"/>
      <c r="J89" s="3"/>
      <c r="K89" s="3"/>
      <c r="L89" s="3"/>
      <c r="M89" s="3"/>
      <c r="N89" s="3"/>
      <c r="O89" s="3"/>
      <c r="P89" s="3"/>
      <c r="Q89" s="3"/>
      <c r="R89" s="3"/>
      <c r="S89" s="3"/>
      <c r="U89" s="2"/>
      <c r="V89" s="3"/>
      <c r="X89" s="2"/>
    </row>
    <row r="90" spans="1:24" x14ac:dyDescent="0.25">
      <c r="A90" s="7"/>
      <c r="B90" s="7"/>
      <c r="C90" s="9"/>
      <c r="D90" s="9"/>
      <c r="E90" s="9"/>
      <c r="F90" s="9"/>
      <c r="G90" s="32"/>
      <c r="H90" s="32"/>
      <c r="I90" s="3"/>
      <c r="J90" s="3"/>
      <c r="K90" s="3"/>
      <c r="L90" s="3"/>
      <c r="M90" s="3"/>
      <c r="N90" s="3"/>
      <c r="O90" s="3"/>
      <c r="P90" s="3"/>
      <c r="Q90" s="3"/>
      <c r="R90" s="3"/>
      <c r="S90" s="3"/>
      <c r="U90" s="2"/>
      <c r="V90" s="3"/>
      <c r="X90" s="2"/>
    </row>
    <row r="91" spans="1:24" x14ac:dyDescent="0.25">
      <c r="A91" s="7"/>
      <c r="B91" s="7"/>
      <c r="C91" s="9"/>
      <c r="D91" s="9"/>
      <c r="E91" s="9"/>
      <c r="F91" s="9"/>
      <c r="G91" s="32"/>
      <c r="H91" s="32"/>
      <c r="I91" s="3"/>
      <c r="J91" s="3"/>
      <c r="K91" s="3"/>
      <c r="L91" s="3"/>
      <c r="M91" s="3"/>
      <c r="N91" s="3"/>
      <c r="O91" s="3"/>
      <c r="P91" s="3"/>
      <c r="Q91" s="3"/>
      <c r="R91" s="3"/>
      <c r="S91" s="3"/>
      <c r="U91" s="2"/>
      <c r="V91" s="3"/>
      <c r="X91" s="2"/>
    </row>
    <row r="92" spans="1:24" x14ac:dyDescent="0.25">
      <c r="A92" s="7"/>
      <c r="B92" s="7"/>
      <c r="C92" s="9"/>
      <c r="D92" s="9"/>
      <c r="E92" s="9"/>
      <c r="F92" s="9"/>
      <c r="G92" s="32"/>
      <c r="H92" s="32"/>
      <c r="I92" s="3"/>
      <c r="J92" s="3"/>
      <c r="K92" s="3"/>
      <c r="L92" s="3"/>
      <c r="M92" s="3"/>
      <c r="N92" s="3"/>
      <c r="O92" s="3"/>
      <c r="P92" s="3"/>
      <c r="Q92" s="3"/>
      <c r="R92" s="3"/>
      <c r="S92" s="3"/>
      <c r="U92" s="2"/>
      <c r="V92" s="3"/>
      <c r="X92" s="2"/>
    </row>
    <row r="93" spans="1:24" x14ac:dyDescent="0.25">
      <c r="A93" s="7"/>
      <c r="B93" s="7"/>
      <c r="C93" s="9"/>
      <c r="D93" s="9"/>
      <c r="E93" s="9"/>
      <c r="F93" s="9"/>
      <c r="G93" s="32"/>
      <c r="H93" s="32"/>
      <c r="I93" s="3"/>
      <c r="J93" s="3"/>
      <c r="K93" s="3"/>
      <c r="L93" s="3"/>
      <c r="M93" s="3"/>
      <c r="N93" s="3"/>
      <c r="O93" s="3"/>
      <c r="P93" s="3"/>
      <c r="Q93" s="3"/>
      <c r="R93" s="3"/>
      <c r="S93" s="3"/>
      <c r="U93" s="2"/>
      <c r="V93" s="3"/>
      <c r="X93" s="2"/>
    </row>
    <row r="94" spans="1:24" x14ac:dyDescent="0.25">
      <c r="A94" s="7"/>
      <c r="B94" s="7"/>
      <c r="C94" s="9"/>
      <c r="D94" s="9"/>
      <c r="E94" s="9"/>
      <c r="F94" s="9"/>
      <c r="G94" s="32"/>
      <c r="H94" s="32"/>
      <c r="I94" s="3"/>
      <c r="J94" s="3"/>
      <c r="K94" s="3"/>
      <c r="L94" s="3"/>
      <c r="M94" s="3"/>
      <c r="N94" s="3"/>
      <c r="O94" s="3"/>
      <c r="P94" s="3"/>
      <c r="Q94" s="3"/>
      <c r="R94" s="3"/>
      <c r="S94" s="3"/>
      <c r="U94" s="2"/>
      <c r="V94" s="3"/>
      <c r="X94" s="2"/>
    </row>
    <row r="95" spans="1:24" x14ac:dyDescent="0.25">
      <c r="A95" s="7"/>
      <c r="B95" s="7"/>
      <c r="C95" s="9"/>
      <c r="D95" s="9"/>
      <c r="E95" s="9"/>
      <c r="F95" s="9"/>
      <c r="G95" s="32"/>
      <c r="H95" s="32"/>
      <c r="I95" s="3"/>
      <c r="J95" s="3"/>
      <c r="K95" s="3"/>
      <c r="L95" s="3"/>
      <c r="M95" s="3"/>
      <c r="N95" s="3"/>
      <c r="O95" s="3"/>
      <c r="P95" s="3"/>
      <c r="Q95" s="3"/>
      <c r="R95" s="3"/>
      <c r="S95" s="3"/>
      <c r="U95" s="2"/>
      <c r="V95" s="3"/>
      <c r="X95" s="2"/>
    </row>
    <row r="96" spans="1:24" x14ac:dyDescent="0.25">
      <c r="A96" s="7"/>
      <c r="B96" s="7"/>
      <c r="C96" s="9"/>
      <c r="D96" s="9"/>
      <c r="E96" s="9"/>
      <c r="F96" s="9"/>
      <c r="G96" s="32"/>
      <c r="H96" s="32"/>
      <c r="I96" s="3"/>
      <c r="J96" s="3"/>
      <c r="K96" s="3"/>
      <c r="L96" s="3"/>
      <c r="M96" s="3"/>
      <c r="N96" s="3"/>
      <c r="O96" s="3"/>
      <c r="P96" s="3"/>
      <c r="Q96" s="3"/>
      <c r="R96" s="3"/>
      <c r="S96" s="3"/>
      <c r="U96" s="2"/>
      <c r="V96" s="3"/>
      <c r="X96" s="2"/>
    </row>
    <row r="97" spans="1:24" x14ac:dyDescent="0.25">
      <c r="A97" s="7"/>
      <c r="B97" s="7"/>
      <c r="C97" s="9"/>
      <c r="D97" s="9"/>
      <c r="E97" s="9"/>
      <c r="F97" s="9"/>
      <c r="G97" s="32"/>
      <c r="H97" s="32"/>
      <c r="I97" s="3"/>
      <c r="J97" s="3"/>
      <c r="K97" s="3"/>
      <c r="L97" s="3"/>
      <c r="M97" s="3"/>
      <c r="N97" s="3"/>
      <c r="O97" s="3"/>
      <c r="P97" s="3"/>
      <c r="Q97" s="3"/>
      <c r="R97" s="3"/>
      <c r="S97" s="3"/>
      <c r="U97" s="2"/>
      <c r="V97" s="3"/>
      <c r="X97" s="2"/>
    </row>
    <row r="98" spans="1:24" x14ac:dyDescent="0.25">
      <c r="A98" s="7"/>
      <c r="B98" s="7"/>
      <c r="C98" s="9"/>
      <c r="D98" s="9"/>
      <c r="E98" s="9"/>
      <c r="F98" s="9"/>
      <c r="G98" s="32"/>
      <c r="H98" s="32"/>
      <c r="I98" s="3"/>
      <c r="J98" s="3"/>
      <c r="K98" s="3"/>
      <c r="L98" s="3"/>
      <c r="M98" s="3"/>
      <c r="N98" s="3"/>
      <c r="O98" s="3"/>
      <c r="P98" s="3"/>
      <c r="Q98" s="3"/>
      <c r="R98" s="3"/>
      <c r="S98" s="3"/>
      <c r="U98" s="2"/>
      <c r="V98" s="3"/>
      <c r="X98" s="2"/>
    </row>
    <row r="99" spans="1:24" x14ac:dyDescent="0.25">
      <c r="A99" s="7"/>
      <c r="B99" s="7"/>
      <c r="C99" s="9"/>
      <c r="D99" s="9"/>
      <c r="E99" s="9"/>
      <c r="F99" s="9"/>
      <c r="G99" s="32"/>
      <c r="H99" s="32"/>
      <c r="I99" s="3"/>
      <c r="J99" s="3"/>
      <c r="K99" s="3"/>
      <c r="L99" s="3"/>
      <c r="M99" s="3"/>
      <c r="N99" s="3"/>
      <c r="O99" s="3"/>
      <c r="P99" s="3"/>
      <c r="Q99" s="3"/>
      <c r="R99" s="3"/>
      <c r="S99" s="3"/>
      <c r="U99" s="2"/>
      <c r="V99" s="3"/>
      <c r="X99" s="2"/>
    </row>
    <row r="100" spans="1:24" x14ac:dyDescent="0.25">
      <c r="A100" s="7"/>
      <c r="B100" s="7"/>
      <c r="C100" s="9"/>
      <c r="D100" s="9"/>
      <c r="E100" s="9"/>
      <c r="F100" s="9"/>
      <c r="G100" s="32"/>
      <c r="H100" s="32"/>
      <c r="I100" s="3"/>
      <c r="J100" s="3"/>
      <c r="K100" s="3"/>
      <c r="L100" s="3"/>
      <c r="M100" s="3"/>
      <c r="N100" s="3"/>
      <c r="O100" s="3"/>
      <c r="P100" s="3"/>
      <c r="Q100" s="3"/>
      <c r="R100" s="3"/>
      <c r="S100" s="3"/>
      <c r="U100" s="2"/>
      <c r="V100" s="3"/>
      <c r="X100" s="2"/>
    </row>
    <row r="101" spans="1:24" x14ac:dyDescent="0.25">
      <c r="A101" s="7"/>
      <c r="B101" s="7"/>
      <c r="C101" s="9"/>
      <c r="D101" s="9"/>
      <c r="E101" s="9"/>
      <c r="F101" s="9"/>
      <c r="G101" s="32"/>
      <c r="H101" s="32"/>
      <c r="I101" s="3"/>
      <c r="J101" s="3"/>
      <c r="K101" s="3"/>
      <c r="L101" s="3"/>
      <c r="M101" s="3"/>
      <c r="N101" s="3"/>
      <c r="O101" s="3"/>
      <c r="P101" s="3"/>
      <c r="Q101" s="3"/>
      <c r="R101" s="3"/>
      <c r="S101" s="3"/>
      <c r="U101" s="2"/>
      <c r="V101" s="3"/>
      <c r="X101" s="2"/>
    </row>
    <row r="102" spans="1:24" x14ac:dyDescent="0.25">
      <c r="A102" s="7"/>
      <c r="B102" s="7"/>
      <c r="C102" s="9"/>
      <c r="D102" s="9"/>
      <c r="E102" s="9"/>
      <c r="F102" s="9"/>
      <c r="G102" s="32"/>
      <c r="H102" s="32"/>
      <c r="I102" s="3"/>
      <c r="J102" s="3"/>
      <c r="K102" s="3"/>
      <c r="L102" s="3"/>
      <c r="M102" s="3"/>
      <c r="N102" s="3"/>
      <c r="O102" s="3"/>
      <c r="P102" s="3"/>
      <c r="Q102" s="3"/>
      <c r="R102" s="3"/>
      <c r="S102" s="3"/>
      <c r="U102" s="2"/>
      <c r="V102" s="3"/>
      <c r="X102" s="2"/>
    </row>
    <row r="103" spans="1:24" x14ac:dyDescent="0.25">
      <c r="A103" s="7"/>
      <c r="B103" s="7"/>
      <c r="C103" s="9"/>
      <c r="D103" s="9"/>
      <c r="E103" s="9"/>
      <c r="F103" s="9"/>
      <c r="G103" s="32"/>
      <c r="H103" s="32"/>
      <c r="I103" s="3"/>
      <c r="J103" s="3"/>
      <c r="K103" s="3"/>
      <c r="L103" s="3"/>
      <c r="M103" s="3"/>
      <c r="N103" s="3"/>
      <c r="O103" s="3"/>
      <c r="P103" s="3"/>
      <c r="Q103" s="3"/>
      <c r="R103" s="3"/>
      <c r="S103" s="3"/>
      <c r="U103" s="2"/>
      <c r="V103" s="3"/>
      <c r="X103" s="2"/>
    </row>
    <row r="104" spans="1:24" x14ac:dyDescent="0.25">
      <c r="A104" s="7"/>
      <c r="B104" s="7"/>
      <c r="C104" s="9"/>
      <c r="D104" s="9"/>
      <c r="E104" s="9"/>
      <c r="F104" s="9"/>
      <c r="G104" s="32"/>
      <c r="H104" s="32"/>
      <c r="I104" s="3"/>
      <c r="J104" s="3"/>
      <c r="K104" s="3"/>
      <c r="L104" s="3"/>
      <c r="M104" s="3"/>
      <c r="N104" s="3"/>
      <c r="O104" s="3"/>
      <c r="P104" s="3"/>
      <c r="Q104" s="3"/>
      <c r="R104" s="3"/>
      <c r="S104" s="3"/>
      <c r="U104" s="2"/>
      <c r="V104" s="3"/>
      <c r="X104" s="2"/>
    </row>
    <row r="105" spans="1:24" x14ac:dyDescent="0.25">
      <c r="A105" s="7"/>
      <c r="B105" s="7"/>
      <c r="C105" s="9"/>
      <c r="D105" s="9"/>
      <c r="E105" s="9"/>
      <c r="F105" s="9"/>
      <c r="G105" s="32"/>
      <c r="H105" s="32"/>
      <c r="I105" s="3"/>
      <c r="J105" s="3"/>
      <c r="K105" s="3"/>
      <c r="L105" s="3"/>
      <c r="M105" s="3"/>
      <c r="N105" s="3"/>
      <c r="O105" s="3"/>
      <c r="P105" s="3"/>
      <c r="Q105" s="3"/>
      <c r="R105" s="3"/>
      <c r="S105" s="3"/>
      <c r="U105" s="2"/>
      <c r="V105" s="3"/>
      <c r="X105" s="2"/>
    </row>
    <row r="106" spans="1:24" x14ac:dyDescent="0.25">
      <c r="A106" s="7"/>
      <c r="B106" s="7"/>
      <c r="C106" s="9"/>
      <c r="D106" s="9"/>
      <c r="E106" s="9"/>
      <c r="F106" s="9"/>
      <c r="G106" s="32"/>
      <c r="H106" s="32"/>
      <c r="I106" s="3"/>
      <c r="J106" s="3"/>
      <c r="K106" s="3"/>
      <c r="L106" s="3"/>
      <c r="M106" s="3"/>
      <c r="N106" s="3"/>
      <c r="O106" s="3"/>
      <c r="P106" s="3"/>
      <c r="Q106" s="3"/>
      <c r="R106" s="3"/>
      <c r="S106" s="3"/>
      <c r="U106" s="2"/>
      <c r="V106" s="3"/>
      <c r="X106" s="2"/>
    </row>
    <row r="107" spans="1:24" x14ac:dyDescent="0.25">
      <c r="A107" s="7"/>
      <c r="B107" s="7"/>
      <c r="C107" s="9"/>
      <c r="D107" s="9"/>
      <c r="E107" s="9"/>
      <c r="F107" s="9"/>
      <c r="G107" s="32"/>
      <c r="H107" s="32"/>
      <c r="I107" s="3"/>
      <c r="J107" s="3"/>
      <c r="K107" s="3"/>
      <c r="L107" s="3"/>
      <c r="M107" s="3"/>
      <c r="N107" s="3"/>
      <c r="O107" s="3"/>
      <c r="P107" s="3"/>
      <c r="Q107" s="3"/>
      <c r="R107" s="3"/>
      <c r="S107" s="3"/>
      <c r="U107" s="2"/>
      <c r="V107" s="3"/>
      <c r="X107" s="2"/>
    </row>
    <row r="108" spans="1:24" x14ac:dyDescent="0.25">
      <c r="A108" s="7"/>
      <c r="B108" s="7"/>
      <c r="C108" s="9"/>
      <c r="D108" s="9"/>
      <c r="E108" s="9"/>
      <c r="F108" s="9"/>
      <c r="G108" s="32"/>
      <c r="H108" s="32"/>
      <c r="I108" s="3"/>
      <c r="J108" s="3"/>
      <c r="K108" s="3"/>
      <c r="L108" s="3"/>
      <c r="M108" s="3"/>
      <c r="N108" s="3"/>
      <c r="O108" s="3"/>
      <c r="P108" s="3"/>
      <c r="Q108" s="3"/>
      <c r="R108" s="3"/>
      <c r="S108" s="3"/>
      <c r="U108" s="2"/>
      <c r="V108" s="3"/>
      <c r="X108" s="2"/>
    </row>
    <row r="109" spans="1:24" x14ac:dyDescent="0.25">
      <c r="A109" s="7"/>
      <c r="B109" s="7"/>
      <c r="C109" s="9"/>
      <c r="D109" s="9"/>
      <c r="E109" s="9"/>
      <c r="F109" s="9"/>
      <c r="G109" s="32"/>
      <c r="H109" s="32"/>
      <c r="I109" s="3"/>
      <c r="J109" s="3"/>
      <c r="K109" s="3"/>
      <c r="L109" s="3"/>
      <c r="M109" s="3"/>
      <c r="N109" s="3"/>
      <c r="O109" s="3"/>
      <c r="P109" s="3"/>
      <c r="Q109" s="3"/>
      <c r="R109" s="3"/>
      <c r="S109" s="3"/>
      <c r="U109" s="2"/>
      <c r="V109" s="3"/>
      <c r="X109" s="2"/>
    </row>
    <row r="110" spans="1:24" x14ac:dyDescent="0.25">
      <c r="A110" s="7"/>
      <c r="B110" s="7"/>
      <c r="C110" s="9"/>
      <c r="D110" s="9"/>
      <c r="E110" s="9"/>
      <c r="F110" s="9"/>
      <c r="G110" s="32"/>
      <c r="H110" s="32"/>
      <c r="I110" s="3"/>
      <c r="J110" s="3"/>
      <c r="K110" s="3"/>
      <c r="L110" s="3"/>
      <c r="M110" s="3"/>
      <c r="N110" s="3"/>
      <c r="O110" s="3"/>
      <c r="P110" s="3"/>
      <c r="Q110" s="3"/>
      <c r="R110" s="3"/>
      <c r="S110" s="3"/>
      <c r="U110" s="2"/>
      <c r="V110" s="3"/>
      <c r="X110" s="2"/>
    </row>
    <row r="111" spans="1:24" x14ac:dyDescent="0.25">
      <c r="A111" s="7"/>
      <c r="B111" s="7"/>
      <c r="C111" s="9"/>
      <c r="D111" s="9"/>
      <c r="E111" s="9"/>
      <c r="F111" s="9"/>
      <c r="G111" s="32"/>
      <c r="H111" s="32"/>
      <c r="I111" s="3"/>
      <c r="J111" s="3"/>
      <c r="K111" s="3"/>
      <c r="L111" s="3"/>
      <c r="M111" s="3"/>
      <c r="N111" s="3"/>
      <c r="O111" s="3"/>
      <c r="P111" s="3"/>
      <c r="Q111" s="3"/>
      <c r="R111" s="3"/>
      <c r="S111" s="3"/>
      <c r="U111" s="2"/>
      <c r="V111" s="3"/>
      <c r="X111" s="2"/>
    </row>
    <row r="112" spans="1:24" x14ac:dyDescent="0.25">
      <c r="A112" s="7"/>
      <c r="B112" s="7"/>
      <c r="C112" s="9"/>
      <c r="D112" s="9"/>
      <c r="E112" s="9"/>
      <c r="F112" s="9"/>
      <c r="G112" s="32"/>
      <c r="H112" s="32"/>
      <c r="I112" s="3"/>
      <c r="J112" s="3"/>
      <c r="K112" s="3"/>
      <c r="L112" s="3"/>
      <c r="M112" s="3"/>
      <c r="N112" s="3"/>
      <c r="O112" s="3"/>
      <c r="P112" s="3"/>
      <c r="Q112" s="3"/>
      <c r="R112" s="3"/>
      <c r="S112" s="3"/>
      <c r="U112" s="2"/>
      <c r="V112" s="3"/>
      <c r="X112" s="2"/>
    </row>
    <row r="113" spans="1:24" x14ac:dyDescent="0.25">
      <c r="A113" s="7"/>
      <c r="B113" s="7"/>
      <c r="C113" s="9"/>
      <c r="D113" s="9"/>
      <c r="E113" s="9"/>
      <c r="F113" s="9"/>
      <c r="G113" s="32"/>
      <c r="H113" s="32"/>
      <c r="I113" s="3"/>
      <c r="J113" s="3"/>
      <c r="K113" s="3"/>
      <c r="L113" s="3"/>
      <c r="M113" s="3"/>
      <c r="N113" s="3"/>
      <c r="O113" s="3"/>
      <c r="P113" s="3"/>
      <c r="Q113" s="3"/>
      <c r="R113" s="3"/>
      <c r="S113" s="3"/>
      <c r="U113" s="2"/>
      <c r="V113" s="3"/>
      <c r="X113" s="2"/>
    </row>
    <row r="114" spans="1:24" x14ac:dyDescent="0.25">
      <c r="A114" s="7"/>
      <c r="B114" s="7"/>
      <c r="C114" s="9"/>
      <c r="D114" s="9"/>
      <c r="E114" s="9"/>
      <c r="F114" s="9"/>
      <c r="G114" s="32"/>
      <c r="H114" s="32"/>
      <c r="I114" s="3"/>
      <c r="J114" s="3"/>
      <c r="K114" s="3"/>
      <c r="L114" s="3"/>
      <c r="M114" s="3"/>
      <c r="N114" s="3"/>
      <c r="O114" s="3"/>
      <c r="P114" s="3"/>
      <c r="Q114" s="3"/>
      <c r="R114" s="3"/>
      <c r="S114" s="3"/>
      <c r="U114" s="2"/>
      <c r="V114" s="3"/>
      <c r="X114" s="2"/>
    </row>
    <row r="115" spans="1:24" x14ac:dyDescent="0.25">
      <c r="A115" s="7"/>
      <c r="B115" s="7"/>
      <c r="C115" s="9"/>
      <c r="D115" s="9"/>
      <c r="E115" s="9"/>
      <c r="F115" s="9"/>
      <c r="G115" s="32"/>
      <c r="H115" s="32"/>
      <c r="I115" s="3"/>
      <c r="J115" s="3"/>
      <c r="K115" s="3"/>
      <c r="L115" s="3"/>
      <c r="M115" s="3"/>
      <c r="N115" s="3"/>
      <c r="O115" s="3"/>
      <c r="P115" s="3"/>
      <c r="Q115" s="3"/>
      <c r="R115" s="3"/>
      <c r="S115" s="3"/>
      <c r="U115" s="2"/>
      <c r="V115" s="3"/>
      <c r="X115" s="2"/>
    </row>
    <row r="116" spans="1:24" x14ac:dyDescent="0.25">
      <c r="A116" s="7"/>
      <c r="B116" s="7"/>
      <c r="C116" s="9"/>
      <c r="D116" s="9"/>
      <c r="E116" s="9"/>
      <c r="F116" s="9"/>
      <c r="G116" s="32"/>
      <c r="H116" s="32"/>
      <c r="I116" s="3"/>
      <c r="J116" s="3"/>
      <c r="K116" s="3"/>
      <c r="L116" s="3"/>
      <c r="M116" s="3"/>
      <c r="N116" s="3"/>
      <c r="O116" s="3"/>
      <c r="P116" s="3"/>
      <c r="Q116" s="3"/>
      <c r="R116" s="3"/>
      <c r="S116" s="3"/>
      <c r="U116" s="2"/>
      <c r="V116" s="3"/>
      <c r="X116" s="2"/>
    </row>
    <row r="117" spans="1:24" x14ac:dyDescent="0.25">
      <c r="A117" s="7"/>
      <c r="B117" s="7"/>
      <c r="C117" s="9"/>
      <c r="D117" s="9"/>
      <c r="E117" s="9"/>
      <c r="F117" s="9"/>
      <c r="G117" s="32"/>
      <c r="H117" s="32"/>
      <c r="I117" s="3"/>
      <c r="J117" s="3"/>
      <c r="K117" s="3"/>
      <c r="L117" s="3"/>
      <c r="M117" s="3"/>
      <c r="N117" s="3"/>
      <c r="O117" s="3"/>
      <c r="P117" s="3"/>
      <c r="Q117" s="3"/>
      <c r="R117" s="3"/>
      <c r="S117" s="3"/>
      <c r="U117" s="2"/>
      <c r="V117" s="3"/>
      <c r="X117" s="2"/>
    </row>
    <row r="118" spans="1:24" x14ac:dyDescent="0.25">
      <c r="A118" s="7" t="s">
        <v>49</v>
      </c>
      <c r="B118" s="7"/>
      <c r="C118" s="9"/>
      <c r="D118" s="11"/>
      <c r="E118" s="11"/>
      <c r="F118" s="11"/>
      <c r="G118" s="32"/>
      <c r="H118" s="32"/>
      <c r="I118" s="3"/>
      <c r="J118" s="3"/>
      <c r="K118" s="3"/>
      <c r="L118" s="3"/>
      <c r="M118" s="3"/>
      <c r="N118" s="3"/>
      <c r="O118" s="3"/>
      <c r="P118" s="3"/>
      <c r="Q118" s="3"/>
      <c r="R118" s="3"/>
      <c r="S118" s="3"/>
      <c r="U118" s="2"/>
      <c r="V118" s="3"/>
      <c r="X118" s="2"/>
    </row>
    <row r="119" spans="1:24" x14ac:dyDescent="0.25">
      <c r="A119" s="8"/>
      <c r="B119" s="8"/>
      <c r="C119" s="11"/>
      <c r="J119" s="4"/>
      <c r="K119" s="4"/>
      <c r="L119" s="4"/>
      <c r="M119" s="4"/>
      <c r="N119" s="4"/>
      <c r="O119" s="4"/>
      <c r="P119" s="4"/>
      <c r="Q119" s="4"/>
      <c r="R119" s="4"/>
      <c r="S119" s="4"/>
      <c r="T119" s="5"/>
      <c r="U119" s="6"/>
      <c r="V119" s="4"/>
      <c r="W119" s="5"/>
      <c r="X119" s="6"/>
    </row>
  </sheetData>
  <mergeCells count="2">
    <mergeCell ref="D4:F4"/>
    <mergeCell ref="G4:I4"/>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E2F9-05C2-4A4D-979D-74AE7C4D65E0}">
  <dimension ref="A2:AB126"/>
  <sheetViews>
    <sheetView topLeftCell="A9" zoomScale="90" zoomScaleNormal="90" workbookViewId="0">
      <selection activeCell="C31" sqref="C31"/>
    </sheetView>
  </sheetViews>
  <sheetFormatPr baseColWidth="10" defaultColWidth="9.140625" defaultRowHeight="15" x14ac:dyDescent="0.25"/>
  <cols>
    <col min="1" max="1" width="20.42578125" customWidth="1"/>
    <col min="2" max="2" width="12" customWidth="1"/>
    <col min="3" max="3" width="60.7109375" style="1" customWidth="1"/>
    <col min="4" max="6" width="5.42578125" style="1" bestFit="1" customWidth="1"/>
    <col min="7" max="8" width="7.7109375" style="1" bestFit="1" customWidth="1"/>
    <col min="9" max="9" width="7.7109375" bestFit="1" customWidth="1"/>
    <col min="10" max="10" width="13.85546875" customWidth="1"/>
    <col min="11" max="11" width="12.7109375" customWidth="1"/>
    <col min="16" max="16" width="11.140625" bestFit="1" customWidth="1"/>
  </cols>
  <sheetData>
    <row r="2" spans="1:28" x14ac:dyDescent="0.25">
      <c r="A2" t="s">
        <v>0</v>
      </c>
      <c r="B2" s="1"/>
      <c r="C2" t="s">
        <v>1</v>
      </c>
    </row>
    <row r="3" spans="1:28" x14ac:dyDescent="0.25">
      <c r="A3" t="s">
        <v>2</v>
      </c>
      <c r="B3" s="1"/>
      <c r="C3" t="s">
        <v>3</v>
      </c>
    </row>
    <row r="4" spans="1:28" x14ac:dyDescent="0.25">
      <c r="D4" s="44" t="s">
        <v>4</v>
      </c>
      <c r="E4" s="44"/>
      <c r="F4" s="44"/>
      <c r="G4" s="44" t="s">
        <v>5</v>
      </c>
      <c r="H4" s="44"/>
      <c r="I4" s="44"/>
      <c r="J4" t="s">
        <v>6</v>
      </c>
      <c r="M4" t="s">
        <v>7</v>
      </c>
      <c r="P4" t="s">
        <v>8</v>
      </c>
      <c r="S4" t="s">
        <v>9</v>
      </c>
      <c r="V4" t="s">
        <v>10</v>
      </c>
      <c r="Y4" t="s">
        <v>11</v>
      </c>
    </row>
    <row r="5" spans="1:28" x14ac:dyDescent="0.25">
      <c r="A5" s="21" t="s">
        <v>12</v>
      </c>
      <c r="B5" s="17" t="s">
        <v>13</v>
      </c>
      <c r="C5" s="16" t="s">
        <v>14</v>
      </c>
      <c r="D5" s="30" t="s">
        <v>15</v>
      </c>
      <c r="E5" s="30" t="s">
        <v>16</v>
      </c>
      <c r="F5" s="30" t="s">
        <v>17</v>
      </c>
      <c r="G5" s="30" t="s">
        <v>15</v>
      </c>
      <c r="H5" s="30" t="s">
        <v>16</v>
      </c>
      <c r="I5" s="30" t="s">
        <v>17</v>
      </c>
      <c r="J5" s="18" t="s">
        <v>82</v>
      </c>
      <c r="K5" s="18" t="s">
        <v>83</v>
      </c>
      <c r="L5" s="18" t="s">
        <v>84</v>
      </c>
      <c r="M5" s="18" t="s">
        <v>82</v>
      </c>
      <c r="N5" s="18" t="s">
        <v>83</v>
      </c>
      <c r="O5" s="18" t="s">
        <v>84</v>
      </c>
      <c r="P5" s="18" t="s">
        <v>82</v>
      </c>
      <c r="Q5" s="18" t="s">
        <v>83</v>
      </c>
      <c r="R5" s="18" t="s">
        <v>84</v>
      </c>
      <c r="S5" s="18" t="s">
        <v>82</v>
      </c>
      <c r="T5" s="18" t="s">
        <v>83</v>
      </c>
      <c r="U5" s="18" t="s">
        <v>84</v>
      </c>
      <c r="V5" s="18" t="s">
        <v>82</v>
      </c>
      <c r="W5" s="18" t="s">
        <v>83</v>
      </c>
      <c r="X5" s="18" t="s">
        <v>84</v>
      </c>
      <c r="Y5" s="18" t="s">
        <v>82</v>
      </c>
      <c r="Z5" s="18" t="s">
        <v>83</v>
      </c>
      <c r="AA5" s="18" t="s">
        <v>84</v>
      </c>
    </row>
    <row r="6" spans="1:28" x14ac:dyDescent="0.25">
      <c r="A6" s="15">
        <v>46008</v>
      </c>
      <c r="B6" s="26">
        <v>0.54166666666666663</v>
      </c>
      <c r="C6" s="9" t="s">
        <v>223</v>
      </c>
      <c r="D6" s="9"/>
      <c r="E6" s="9"/>
      <c r="F6" s="9"/>
      <c r="G6" s="32"/>
      <c r="H6" s="32"/>
      <c r="I6" s="29"/>
      <c r="J6" s="22"/>
      <c r="K6" s="22"/>
      <c r="L6" s="22"/>
      <c r="M6" s="22"/>
      <c r="N6" s="22"/>
      <c r="O6" s="22"/>
      <c r="P6" s="22"/>
      <c r="Q6" s="22"/>
      <c r="R6" s="22"/>
      <c r="S6" s="3"/>
      <c r="U6" s="2"/>
      <c r="V6" s="3"/>
      <c r="X6" s="2"/>
    </row>
    <row r="7" spans="1:28" x14ac:dyDescent="0.25">
      <c r="A7" s="15">
        <v>46008</v>
      </c>
      <c r="B7" s="26">
        <v>0.60763888888888884</v>
      </c>
      <c r="C7" s="9" t="s">
        <v>171</v>
      </c>
      <c r="D7" s="9"/>
      <c r="E7" s="9"/>
      <c r="F7" s="9"/>
      <c r="G7" s="31"/>
      <c r="H7" s="31"/>
      <c r="I7" s="31"/>
      <c r="J7" s="22"/>
      <c r="K7" s="22"/>
      <c r="L7" s="22"/>
      <c r="M7" s="22"/>
      <c r="N7" s="22"/>
      <c r="O7" s="22"/>
      <c r="P7" s="22"/>
      <c r="Q7" s="22"/>
      <c r="R7" s="22"/>
      <c r="S7" s="3"/>
      <c r="U7" s="2"/>
      <c r="V7" s="3"/>
      <c r="X7" s="2"/>
    </row>
    <row r="8" spans="1:28" x14ac:dyDescent="0.25">
      <c r="A8" s="15"/>
      <c r="B8" s="26">
        <v>0.63402777777777775</v>
      </c>
      <c r="C8" s="9" t="s">
        <v>224</v>
      </c>
      <c r="D8" s="9"/>
      <c r="E8" s="9"/>
      <c r="F8" s="9"/>
      <c r="G8" s="31"/>
      <c r="H8" s="31"/>
      <c r="I8" s="31"/>
      <c r="J8" s="22"/>
      <c r="K8" s="22"/>
      <c r="L8" s="22"/>
      <c r="M8" s="22"/>
      <c r="N8" s="22"/>
      <c r="O8" s="22"/>
      <c r="P8" s="22"/>
      <c r="Q8" s="22"/>
      <c r="R8" s="22"/>
      <c r="S8" s="3"/>
      <c r="U8" s="2"/>
      <c r="V8" s="3"/>
      <c r="X8" s="2"/>
      <c r="AB8" s="14"/>
    </row>
    <row r="9" spans="1:28" ht="17.25" customHeight="1" x14ac:dyDescent="0.25">
      <c r="A9" s="15"/>
      <c r="B9" s="26">
        <v>0.69166666666666665</v>
      </c>
      <c r="C9" s="9" t="s">
        <v>171</v>
      </c>
      <c r="D9" s="9"/>
      <c r="E9" s="9"/>
      <c r="F9" s="9"/>
      <c r="G9" s="31"/>
      <c r="H9" s="31"/>
      <c r="I9" s="31"/>
      <c r="J9" s="22"/>
      <c r="K9" s="22"/>
      <c r="L9" s="22"/>
      <c r="M9" s="22"/>
      <c r="N9" s="22"/>
      <c r="O9" s="22"/>
      <c r="P9" s="22"/>
      <c r="Q9" s="22"/>
      <c r="R9" s="22"/>
      <c r="S9" s="3"/>
      <c r="U9" s="2"/>
      <c r="V9" s="3"/>
      <c r="X9" s="2"/>
    </row>
    <row r="10" spans="1:28" x14ac:dyDescent="0.25">
      <c r="A10" s="15">
        <v>46009</v>
      </c>
      <c r="B10" s="26">
        <v>0.49652777777777779</v>
      </c>
      <c r="C10" s="9" t="s">
        <v>225</v>
      </c>
      <c r="D10" s="9"/>
      <c r="E10" s="9"/>
      <c r="F10" s="9"/>
      <c r="G10" s="31"/>
      <c r="H10" s="31"/>
      <c r="I10" s="31"/>
      <c r="J10" s="22"/>
      <c r="K10" s="22"/>
      <c r="L10" s="22"/>
      <c r="M10" s="22"/>
      <c r="N10" s="22"/>
      <c r="O10" s="22"/>
      <c r="P10" s="22"/>
      <c r="Q10" s="22"/>
      <c r="R10" s="22"/>
      <c r="S10" s="3"/>
      <c r="U10" s="2"/>
      <c r="V10" s="3"/>
      <c r="X10" s="2"/>
    </row>
    <row r="11" spans="1:28" x14ac:dyDescent="0.25">
      <c r="A11" s="15"/>
      <c r="B11" s="26">
        <v>0.55208333333333337</v>
      </c>
      <c r="C11" s="9" t="s">
        <v>171</v>
      </c>
      <c r="D11" s="9"/>
      <c r="E11" s="9"/>
      <c r="F11" s="9"/>
      <c r="G11" s="31"/>
      <c r="H11" s="31"/>
      <c r="I11" s="31"/>
      <c r="J11" s="22"/>
      <c r="K11" s="22"/>
      <c r="L11" s="22"/>
      <c r="M11" s="22"/>
      <c r="N11" s="22"/>
      <c r="O11" s="22"/>
      <c r="P11" s="22"/>
      <c r="Q11" s="22"/>
      <c r="R11" s="22"/>
      <c r="S11" s="3"/>
      <c r="U11" s="2"/>
      <c r="V11" s="3"/>
      <c r="X11" s="2"/>
    </row>
    <row r="12" spans="1:28" x14ac:dyDescent="0.25">
      <c r="A12" s="15">
        <v>46013</v>
      </c>
      <c r="B12" s="26">
        <v>0.19791666666666666</v>
      </c>
      <c r="C12" s="9" t="s">
        <v>226</v>
      </c>
      <c r="D12" s="9"/>
      <c r="E12" s="9"/>
      <c r="F12" s="9"/>
      <c r="G12" s="31"/>
      <c r="H12" s="31"/>
      <c r="I12" s="31"/>
      <c r="J12" s="22"/>
      <c r="K12" s="22"/>
      <c r="L12" s="22"/>
      <c r="M12" s="22"/>
      <c r="N12" s="22"/>
      <c r="O12" s="22"/>
      <c r="P12" s="22"/>
      <c r="Q12" s="22"/>
      <c r="R12" s="22"/>
      <c r="S12" s="3"/>
      <c r="U12" s="2"/>
      <c r="V12" s="3"/>
      <c r="X12" s="2"/>
    </row>
    <row r="13" spans="1:28" x14ac:dyDescent="0.25">
      <c r="A13" s="15">
        <v>46020</v>
      </c>
      <c r="B13" s="26">
        <v>0.29722222222222222</v>
      </c>
      <c r="C13" s="9" t="s">
        <v>227</v>
      </c>
      <c r="D13" s="9"/>
      <c r="E13" s="9"/>
      <c r="F13" s="9"/>
      <c r="G13" s="31"/>
      <c r="H13" s="31"/>
      <c r="I13" s="31"/>
      <c r="J13" s="22"/>
      <c r="K13" s="22"/>
      <c r="L13" s="22"/>
      <c r="M13" s="22"/>
      <c r="N13" s="22"/>
      <c r="O13" s="22"/>
      <c r="P13" s="22"/>
      <c r="Q13" s="22"/>
      <c r="R13" s="22"/>
      <c r="S13" s="3"/>
      <c r="U13" s="2"/>
      <c r="V13" s="3"/>
      <c r="X13" s="2"/>
    </row>
    <row r="14" spans="1:28" x14ac:dyDescent="0.25">
      <c r="A14" s="15">
        <v>45669</v>
      </c>
      <c r="B14" s="26">
        <v>0.63194444444444442</v>
      </c>
      <c r="C14" s="9" t="s">
        <v>228</v>
      </c>
      <c r="D14" s="9"/>
      <c r="E14" s="9"/>
      <c r="F14" s="9"/>
      <c r="G14" s="31"/>
      <c r="H14" s="31"/>
      <c r="I14" s="31"/>
      <c r="J14" s="22"/>
      <c r="K14" s="22"/>
      <c r="L14" s="22"/>
      <c r="M14" s="22"/>
      <c r="N14" s="22"/>
      <c r="O14" s="22"/>
      <c r="P14" s="22"/>
      <c r="Q14" s="22"/>
      <c r="R14" s="22"/>
      <c r="S14" s="3"/>
      <c r="U14" s="2"/>
      <c r="V14" s="3"/>
      <c r="X14" s="2"/>
    </row>
    <row r="15" spans="1:28" x14ac:dyDescent="0.25">
      <c r="A15" s="41">
        <v>46049</v>
      </c>
      <c r="B15" s="42">
        <v>0.57916666666666672</v>
      </c>
      <c r="C15" s="1" t="s">
        <v>180</v>
      </c>
      <c r="D15" s="9"/>
      <c r="E15" s="9"/>
      <c r="F15" s="9"/>
      <c r="G15" s="31"/>
      <c r="H15" s="31"/>
      <c r="I15" s="31"/>
      <c r="J15" s="22"/>
      <c r="K15" s="22"/>
      <c r="L15" s="22"/>
      <c r="M15" s="22"/>
      <c r="N15" s="22"/>
      <c r="O15" s="22"/>
      <c r="P15" s="22"/>
      <c r="Q15" s="22"/>
      <c r="R15" s="22"/>
      <c r="S15" s="3"/>
      <c r="U15" s="2"/>
      <c r="V15" s="3"/>
      <c r="X15" s="2"/>
    </row>
    <row r="16" spans="1:28" ht="30" x14ac:dyDescent="0.25">
      <c r="A16" s="15">
        <v>46049</v>
      </c>
      <c r="B16" s="26">
        <v>0.57986111111111116</v>
      </c>
      <c r="C16" s="9" t="s">
        <v>229</v>
      </c>
      <c r="D16" s="9"/>
      <c r="E16" s="9"/>
      <c r="F16" s="9"/>
      <c r="G16" s="31"/>
      <c r="H16" s="31"/>
      <c r="I16" s="31"/>
      <c r="J16" s="22"/>
      <c r="K16" s="22"/>
      <c r="L16" s="22"/>
      <c r="M16" s="22"/>
      <c r="N16" s="22"/>
      <c r="O16" s="22"/>
      <c r="P16" s="22"/>
      <c r="Q16" s="22"/>
      <c r="R16" s="22"/>
      <c r="S16" s="3"/>
      <c r="U16" s="2"/>
      <c r="V16" s="3"/>
      <c r="X16" s="2"/>
    </row>
    <row r="17" spans="1:24" x14ac:dyDescent="0.25">
      <c r="A17" s="15">
        <v>46049</v>
      </c>
      <c r="B17" s="19">
        <v>0.58750000000000002</v>
      </c>
      <c r="C17" s="9" t="s">
        <v>171</v>
      </c>
      <c r="D17" s="9"/>
      <c r="E17" s="9"/>
      <c r="F17" s="9"/>
      <c r="G17" s="31"/>
      <c r="H17" s="31"/>
      <c r="I17" s="31"/>
      <c r="J17" s="23"/>
      <c r="K17" s="23"/>
      <c r="L17" s="23"/>
      <c r="M17" s="23"/>
      <c r="N17" s="23"/>
      <c r="O17" s="23"/>
      <c r="P17" s="23"/>
      <c r="Q17" s="23"/>
      <c r="R17" s="23"/>
      <c r="S17" s="3"/>
      <c r="U17" s="2"/>
      <c r="V17" s="3"/>
      <c r="X17" s="2"/>
    </row>
    <row r="18" spans="1:24" x14ac:dyDescent="0.25">
      <c r="A18" s="15">
        <v>46055</v>
      </c>
      <c r="B18" s="26">
        <v>0.34513888888888888</v>
      </c>
      <c r="C18" s="9" t="s">
        <v>230</v>
      </c>
      <c r="D18" s="9"/>
      <c r="E18" s="9"/>
      <c r="F18" s="9"/>
      <c r="G18" s="31"/>
      <c r="H18" s="31"/>
      <c r="I18" s="31"/>
      <c r="J18" s="22"/>
      <c r="K18" s="22"/>
      <c r="L18" s="22"/>
      <c r="M18" s="22"/>
      <c r="N18" s="22"/>
      <c r="O18" s="22"/>
      <c r="P18" s="22"/>
      <c r="Q18" s="22"/>
      <c r="R18" s="22"/>
      <c r="S18" s="3"/>
      <c r="U18" s="2"/>
      <c r="V18" s="3"/>
      <c r="X18" s="2"/>
    </row>
    <row r="19" spans="1:24" x14ac:dyDescent="0.25">
      <c r="A19" s="15">
        <v>46055</v>
      </c>
      <c r="B19" s="26">
        <v>0.41666666666666669</v>
      </c>
      <c r="C19" s="9" t="s">
        <v>231</v>
      </c>
      <c r="D19" s="9"/>
      <c r="E19" s="9"/>
      <c r="F19" s="9"/>
      <c r="G19" s="31"/>
      <c r="H19" s="31"/>
      <c r="I19" s="31"/>
      <c r="J19" s="22"/>
      <c r="K19" s="22"/>
      <c r="L19" s="22"/>
      <c r="M19" s="22"/>
      <c r="N19" s="22"/>
      <c r="O19" s="22"/>
      <c r="P19" s="22"/>
      <c r="Q19" s="22"/>
      <c r="R19" s="22"/>
      <c r="S19" s="3"/>
      <c r="U19" s="2"/>
      <c r="V19" s="3"/>
      <c r="X19" s="2"/>
    </row>
    <row r="20" spans="1:24" ht="30" x14ac:dyDescent="0.25">
      <c r="A20" s="15">
        <v>46058</v>
      </c>
      <c r="B20" s="26">
        <v>0.48958333333333331</v>
      </c>
      <c r="C20" s="9" t="s">
        <v>232</v>
      </c>
      <c r="D20" s="9"/>
      <c r="E20" s="9"/>
      <c r="F20" s="9"/>
      <c r="G20" s="31"/>
      <c r="H20" s="31"/>
      <c r="I20" s="31"/>
      <c r="J20" s="22"/>
      <c r="K20" s="22"/>
      <c r="L20" s="22"/>
      <c r="M20" s="22"/>
      <c r="N20" s="22"/>
      <c r="O20" s="22"/>
      <c r="P20" s="22"/>
      <c r="Q20" s="22"/>
      <c r="R20" s="22"/>
      <c r="S20" s="3"/>
      <c r="U20" s="2"/>
      <c r="V20" s="3"/>
      <c r="X20" s="2"/>
    </row>
    <row r="21" spans="1:24" ht="30" x14ac:dyDescent="0.25">
      <c r="A21" s="15">
        <v>46059</v>
      </c>
      <c r="B21" s="26">
        <v>0.36319444444444443</v>
      </c>
      <c r="C21" s="9" t="s">
        <v>232</v>
      </c>
      <c r="D21" s="9"/>
      <c r="E21" s="9"/>
      <c r="F21" s="9"/>
      <c r="G21" s="31"/>
      <c r="H21" s="31"/>
      <c r="I21" s="31"/>
      <c r="J21" s="22"/>
      <c r="K21" s="22"/>
      <c r="L21" s="22"/>
      <c r="M21" s="22"/>
      <c r="N21" s="22"/>
      <c r="O21" s="22"/>
      <c r="P21" s="22"/>
      <c r="Q21" s="22"/>
      <c r="R21" s="22"/>
      <c r="S21" s="3"/>
      <c r="U21" s="2"/>
      <c r="V21" s="3"/>
      <c r="X21" s="2"/>
    </row>
    <row r="22" spans="1:24" x14ac:dyDescent="0.25">
      <c r="A22" s="37">
        <v>46056</v>
      </c>
      <c r="B22" s="38" t="s">
        <v>30</v>
      </c>
      <c r="C22" s="9" t="s">
        <v>31</v>
      </c>
      <c r="D22" s="9"/>
      <c r="E22" s="9"/>
      <c r="F22" s="9"/>
      <c r="G22" s="31"/>
      <c r="H22" s="31"/>
      <c r="I22" s="31"/>
      <c r="J22" s="22"/>
      <c r="K22" s="22"/>
      <c r="L22" s="22"/>
      <c r="M22" s="22"/>
      <c r="N22" s="22"/>
      <c r="O22" s="22"/>
      <c r="P22" s="22"/>
      <c r="Q22" s="22"/>
      <c r="R22" s="22"/>
      <c r="S22" s="3"/>
      <c r="U22" s="2"/>
      <c r="V22" s="3"/>
      <c r="X22" s="2"/>
    </row>
    <row r="23" spans="1:24" x14ac:dyDescent="0.25">
      <c r="A23" s="15">
        <v>46094</v>
      </c>
      <c r="B23" s="26">
        <v>0.64375000000000004</v>
      </c>
      <c r="C23" s="9" t="s">
        <v>233</v>
      </c>
      <c r="D23" s="9"/>
      <c r="E23" s="9"/>
      <c r="F23" s="9"/>
      <c r="G23" s="31"/>
      <c r="H23" s="31"/>
      <c r="I23" s="31"/>
      <c r="J23" s="22"/>
      <c r="K23" s="22"/>
      <c r="L23" s="22"/>
      <c r="M23" s="22"/>
      <c r="N23" s="22"/>
      <c r="O23" s="22"/>
      <c r="P23" s="22"/>
      <c r="Q23" s="22"/>
      <c r="R23" s="22"/>
      <c r="S23" s="3"/>
      <c r="U23" s="2"/>
      <c r="V23" s="3"/>
      <c r="X23" s="2"/>
    </row>
    <row r="24" spans="1:24" x14ac:dyDescent="0.25">
      <c r="A24" s="15">
        <v>46097</v>
      </c>
      <c r="B24" s="26">
        <v>0.59930555555555554</v>
      </c>
      <c r="C24" s="9" t="s">
        <v>217</v>
      </c>
      <c r="D24" s="9"/>
      <c r="E24" s="9"/>
      <c r="F24" s="9"/>
      <c r="G24" s="31"/>
      <c r="H24" s="31"/>
      <c r="I24" s="31"/>
      <c r="J24" s="22"/>
      <c r="K24" s="22"/>
      <c r="L24" s="22"/>
      <c r="M24" s="22"/>
      <c r="N24" s="22"/>
      <c r="O24" s="22"/>
      <c r="P24" s="22"/>
      <c r="Q24" s="22"/>
      <c r="R24" s="22"/>
      <c r="S24" s="3"/>
      <c r="U24" s="2"/>
      <c r="V24" s="3"/>
      <c r="X24" s="2"/>
    </row>
    <row r="25" spans="1:24" x14ac:dyDescent="0.25">
      <c r="A25" s="15">
        <v>46098</v>
      </c>
      <c r="B25" s="26">
        <v>0.47638888888888886</v>
      </c>
      <c r="C25" s="9" t="s">
        <v>233</v>
      </c>
      <c r="D25" s="9"/>
      <c r="E25" s="9"/>
      <c r="F25" s="9"/>
      <c r="G25" s="31"/>
      <c r="H25" s="31"/>
      <c r="I25" s="31"/>
      <c r="J25" s="22"/>
      <c r="K25" s="22"/>
      <c r="L25" s="22"/>
      <c r="M25" s="22"/>
      <c r="N25" s="22"/>
      <c r="O25" s="22"/>
      <c r="P25" s="22"/>
      <c r="Q25" s="22"/>
      <c r="R25" s="22"/>
      <c r="S25" s="3"/>
      <c r="U25" s="2"/>
      <c r="V25" s="3"/>
      <c r="X25" s="2"/>
    </row>
    <row r="26" spans="1:24" ht="30" x14ac:dyDescent="0.25">
      <c r="A26" s="15">
        <v>46108</v>
      </c>
      <c r="B26" s="26">
        <v>0.54305555555555551</v>
      </c>
      <c r="C26" s="9" t="s">
        <v>234</v>
      </c>
      <c r="D26" s="9"/>
      <c r="E26" s="9"/>
      <c r="F26" s="9"/>
      <c r="G26" s="31"/>
      <c r="H26" s="31"/>
      <c r="I26" s="31"/>
      <c r="J26" s="22"/>
      <c r="K26" s="22"/>
      <c r="L26" s="22"/>
      <c r="M26" s="22"/>
      <c r="N26" s="22"/>
      <c r="O26" s="22"/>
      <c r="P26" s="22"/>
      <c r="Q26" s="22"/>
      <c r="R26" s="22"/>
      <c r="S26" s="3"/>
      <c r="U26" s="2"/>
      <c r="V26" s="3"/>
      <c r="X26" s="2"/>
    </row>
    <row r="27" spans="1:24" x14ac:dyDescent="0.25">
      <c r="A27" s="15">
        <v>46111</v>
      </c>
      <c r="B27" s="26">
        <v>0.3</v>
      </c>
      <c r="C27" s="9" t="s">
        <v>235</v>
      </c>
      <c r="D27" s="9"/>
      <c r="E27" s="9"/>
      <c r="F27" s="9"/>
      <c r="G27" s="31"/>
      <c r="H27" s="31"/>
      <c r="I27" s="31"/>
      <c r="J27" s="22"/>
      <c r="K27" s="22"/>
      <c r="L27" s="22"/>
      <c r="M27" s="22"/>
      <c r="N27" s="22"/>
      <c r="O27" s="22"/>
      <c r="P27" s="22"/>
      <c r="Q27" s="22"/>
      <c r="R27" s="22"/>
      <c r="S27" s="3"/>
      <c r="U27" s="2"/>
      <c r="V27" s="3"/>
      <c r="X27" s="2"/>
    </row>
    <row r="28" spans="1:24" x14ac:dyDescent="0.25">
      <c r="A28" s="15">
        <v>46120</v>
      </c>
      <c r="B28" s="27">
        <v>0.33263888888888887</v>
      </c>
      <c r="C28" s="9" t="s">
        <v>237</v>
      </c>
      <c r="E28" s="9"/>
      <c r="F28" s="9"/>
      <c r="G28" s="31"/>
      <c r="H28" s="31"/>
      <c r="I28" s="31"/>
      <c r="J28" s="22"/>
      <c r="K28" s="22"/>
      <c r="L28" s="22"/>
      <c r="M28" s="22"/>
      <c r="N28" s="22"/>
      <c r="O28" s="22"/>
      <c r="P28" s="22"/>
      <c r="Q28" s="22"/>
      <c r="R28" s="22"/>
      <c r="S28" s="3"/>
      <c r="U28" s="2"/>
      <c r="V28" s="3"/>
      <c r="X28" s="2"/>
    </row>
    <row r="29" spans="1:24" x14ac:dyDescent="0.25">
      <c r="A29" s="15">
        <v>46129</v>
      </c>
      <c r="B29" s="26">
        <v>0.40069444444444446</v>
      </c>
      <c r="C29" s="9" t="s">
        <v>237</v>
      </c>
      <c r="D29" s="9"/>
      <c r="E29" s="9"/>
      <c r="F29" s="9"/>
      <c r="G29" s="31"/>
      <c r="H29" s="31"/>
      <c r="I29" s="31"/>
      <c r="J29" s="22"/>
      <c r="K29" s="22"/>
      <c r="L29" s="22"/>
      <c r="M29" s="22"/>
      <c r="N29" s="22"/>
      <c r="O29" s="22"/>
      <c r="P29" s="22"/>
      <c r="Q29" s="22"/>
      <c r="R29" s="22"/>
      <c r="S29" s="3"/>
      <c r="U29" s="2"/>
      <c r="V29" s="3"/>
      <c r="X29" s="2"/>
    </row>
    <row r="30" spans="1:24" x14ac:dyDescent="0.25">
      <c r="A30" s="15">
        <v>46148</v>
      </c>
      <c r="B30" s="27" t="s">
        <v>252</v>
      </c>
      <c r="C30" s="9" t="s">
        <v>251</v>
      </c>
      <c r="D30" s="9"/>
      <c r="E30" s="9"/>
      <c r="F30" s="9"/>
      <c r="G30" s="31"/>
      <c r="H30" s="31"/>
      <c r="I30" s="31"/>
      <c r="J30" s="22"/>
      <c r="K30" s="22"/>
      <c r="L30" s="22"/>
      <c r="M30" s="22"/>
      <c r="N30" s="22"/>
      <c r="O30" s="22"/>
      <c r="P30" s="22"/>
      <c r="Q30" s="22"/>
      <c r="R30" s="22"/>
      <c r="S30" s="3"/>
      <c r="U30" s="2"/>
      <c r="V30" s="3"/>
      <c r="X30" s="2"/>
    </row>
    <row r="31" spans="1:24" x14ac:dyDescent="0.25">
      <c r="A31" s="15">
        <v>46168</v>
      </c>
      <c r="B31" s="26">
        <v>0.49722222222222223</v>
      </c>
      <c r="C31" s="9" t="s">
        <v>237</v>
      </c>
      <c r="D31" s="9"/>
      <c r="E31" s="9"/>
      <c r="F31" s="9"/>
      <c r="G31" s="31"/>
      <c r="H31" s="31"/>
      <c r="I31" s="31"/>
      <c r="J31" s="22"/>
      <c r="K31" s="22"/>
      <c r="L31" s="22"/>
      <c r="M31" s="22"/>
      <c r="N31" s="22"/>
      <c r="O31" s="22"/>
      <c r="P31" s="22"/>
      <c r="Q31" s="22"/>
      <c r="R31" s="22"/>
      <c r="S31" s="3"/>
      <c r="U31" s="2"/>
      <c r="V31" s="3"/>
      <c r="X31" s="2"/>
    </row>
    <row r="32" spans="1:24" x14ac:dyDescent="0.25">
      <c r="A32" s="15"/>
      <c r="B32" s="26"/>
      <c r="C32" s="9"/>
      <c r="D32" s="9"/>
      <c r="E32" s="9"/>
      <c r="F32" s="9"/>
      <c r="G32" s="31"/>
      <c r="H32" s="31"/>
      <c r="I32" s="31"/>
      <c r="J32" s="22"/>
      <c r="K32" s="22"/>
      <c r="L32" s="22"/>
      <c r="M32" s="22"/>
      <c r="N32" s="22"/>
      <c r="O32" s="22"/>
      <c r="P32" s="22"/>
      <c r="Q32" s="22"/>
      <c r="R32" s="22"/>
      <c r="S32" s="3"/>
      <c r="U32" s="2"/>
      <c r="V32" s="3"/>
      <c r="X32" s="2"/>
    </row>
    <row r="33" spans="1:24" x14ac:dyDescent="0.25">
      <c r="A33" s="15"/>
      <c r="B33" s="26"/>
      <c r="C33" s="9"/>
      <c r="D33" s="9"/>
      <c r="E33" s="9"/>
      <c r="F33" s="9"/>
      <c r="G33" s="31"/>
      <c r="H33" s="31"/>
      <c r="I33" s="31"/>
      <c r="J33" s="22"/>
      <c r="K33" s="22"/>
      <c r="L33" s="22"/>
      <c r="M33" s="22"/>
      <c r="N33" s="22"/>
      <c r="O33" s="22"/>
      <c r="P33" s="22"/>
      <c r="Q33" s="22"/>
      <c r="R33" s="22"/>
      <c r="S33" s="3"/>
      <c r="U33" s="2"/>
      <c r="V33" s="3"/>
      <c r="X33" s="2"/>
    </row>
    <row r="34" spans="1:24" x14ac:dyDescent="0.25">
      <c r="A34" s="7"/>
      <c r="B34" s="19"/>
      <c r="C34" s="9"/>
      <c r="D34" s="9"/>
      <c r="E34" s="9"/>
      <c r="F34" s="9"/>
      <c r="G34" s="32"/>
      <c r="H34" s="32"/>
      <c r="I34" s="22"/>
      <c r="J34" s="22"/>
      <c r="K34" s="22"/>
      <c r="L34" s="22"/>
      <c r="M34" s="22"/>
      <c r="N34" s="22"/>
      <c r="O34" s="22"/>
      <c r="P34" s="22"/>
      <c r="Q34" s="22"/>
      <c r="R34" s="22"/>
      <c r="S34" s="3"/>
      <c r="U34" s="2"/>
      <c r="V34" s="3"/>
      <c r="X34" s="2"/>
    </row>
    <row r="35" spans="1:24" x14ac:dyDescent="0.25">
      <c r="A35" s="15"/>
      <c r="B35" s="19"/>
      <c r="C35" s="9"/>
      <c r="D35" s="9"/>
      <c r="E35" s="9"/>
      <c r="F35" s="33"/>
      <c r="G35" s="32"/>
      <c r="H35" s="32"/>
      <c r="I35" s="32"/>
      <c r="J35" s="22"/>
      <c r="K35" s="22"/>
      <c r="L35" s="22"/>
      <c r="M35" s="22"/>
      <c r="N35" s="22"/>
      <c r="O35" s="22"/>
      <c r="P35" s="22"/>
      <c r="Q35" s="22"/>
      <c r="R35" s="22"/>
      <c r="S35" s="3"/>
      <c r="U35" s="2"/>
      <c r="V35" s="3"/>
      <c r="X35" s="2"/>
    </row>
    <row r="36" spans="1:24" x14ac:dyDescent="0.25">
      <c r="A36" s="7"/>
      <c r="B36" s="19"/>
      <c r="C36" s="9"/>
      <c r="D36" s="9"/>
      <c r="E36" s="9"/>
      <c r="F36" s="33"/>
      <c r="G36" s="40"/>
      <c r="H36" s="40"/>
      <c r="I36" s="40"/>
      <c r="J36" s="22"/>
      <c r="K36" s="22"/>
      <c r="L36" s="22"/>
      <c r="M36" s="22"/>
      <c r="N36" s="22"/>
      <c r="O36" s="22"/>
      <c r="P36" s="22"/>
      <c r="Q36" s="22"/>
      <c r="R36" s="22"/>
      <c r="S36" s="3"/>
      <c r="U36" s="2"/>
      <c r="V36" s="3"/>
      <c r="X36" s="2"/>
    </row>
    <row r="37" spans="1:24" x14ac:dyDescent="0.25">
      <c r="A37" s="7"/>
      <c r="B37" s="19"/>
      <c r="C37" s="9"/>
      <c r="D37" s="34"/>
      <c r="E37" s="34"/>
      <c r="F37" s="35"/>
      <c r="G37" s="36"/>
      <c r="H37" s="36"/>
      <c r="I37" s="36"/>
      <c r="J37" s="22"/>
      <c r="K37" s="22"/>
      <c r="L37" s="22"/>
      <c r="M37" s="22"/>
      <c r="N37" s="22"/>
      <c r="O37" s="22"/>
      <c r="P37" s="22"/>
      <c r="Q37" s="22"/>
      <c r="R37" s="22"/>
      <c r="S37" s="3"/>
      <c r="U37" s="2"/>
      <c r="V37" s="3"/>
      <c r="X37" s="2"/>
    </row>
    <row r="38" spans="1:24" x14ac:dyDescent="0.25">
      <c r="A38" s="7"/>
      <c r="B38" s="7"/>
      <c r="C38" s="9"/>
      <c r="D38" s="9"/>
      <c r="E38" s="9"/>
      <c r="F38" s="9"/>
      <c r="G38" s="32"/>
      <c r="H38" s="32"/>
      <c r="I38" s="3"/>
      <c r="J38" s="22"/>
      <c r="K38" s="22"/>
      <c r="L38" s="22"/>
      <c r="M38" s="22"/>
      <c r="N38" s="22"/>
      <c r="O38" s="22"/>
      <c r="P38" s="22"/>
      <c r="Q38" s="22"/>
      <c r="R38" s="22"/>
      <c r="S38" s="3"/>
      <c r="U38" s="2"/>
      <c r="V38" s="3"/>
      <c r="X38" s="2"/>
    </row>
    <row r="39" spans="1:24" x14ac:dyDescent="0.25">
      <c r="A39" s="7"/>
      <c r="B39" s="7"/>
      <c r="C39" s="9"/>
      <c r="D39" s="9"/>
      <c r="E39" s="9"/>
      <c r="F39" s="9"/>
      <c r="G39" s="32"/>
      <c r="H39" s="32"/>
      <c r="I39" s="3"/>
      <c r="J39" s="3"/>
      <c r="K39" s="3"/>
      <c r="L39" s="3"/>
      <c r="M39" s="3"/>
      <c r="N39" s="3"/>
      <c r="O39" s="3"/>
      <c r="P39" s="3"/>
      <c r="Q39" s="3"/>
      <c r="R39" s="3"/>
      <c r="S39" s="3"/>
      <c r="U39" s="2"/>
      <c r="V39" s="3"/>
      <c r="X39" s="2"/>
    </row>
    <row r="40" spans="1:24" x14ac:dyDescent="0.25">
      <c r="A40" s="7"/>
      <c r="B40" s="19"/>
      <c r="C40" s="9"/>
      <c r="D40" s="9"/>
      <c r="E40" s="9"/>
      <c r="F40" s="9"/>
      <c r="G40" s="32"/>
      <c r="H40" s="32"/>
      <c r="I40" s="22"/>
      <c r="J40" s="3"/>
      <c r="K40" s="3"/>
      <c r="L40" s="3"/>
      <c r="M40" s="3"/>
      <c r="N40" s="3"/>
      <c r="O40" s="3"/>
      <c r="P40" s="3"/>
      <c r="Q40" s="3"/>
      <c r="R40" s="3"/>
      <c r="S40" s="3"/>
      <c r="U40" s="2"/>
      <c r="V40" s="3"/>
      <c r="X40" s="2"/>
    </row>
    <row r="41" spans="1:24" x14ac:dyDescent="0.25">
      <c r="A41" s="7"/>
      <c r="B41" s="19"/>
      <c r="C41" s="9"/>
      <c r="D41" s="9"/>
      <c r="E41" s="9"/>
      <c r="F41" s="9"/>
      <c r="G41" s="32"/>
      <c r="H41" s="32"/>
      <c r="I41" s="22"/>
      <c r="J41" s="22"/>
      <c r="K41" s="22"/>
      <c r="L41" s="22"/>
      <c r="M41" s="22"/>
      <c r="N41" s="22"/>
      <c r="O41" s="22"/>
      <c r="P41" s="22"/>
      <c r="Q41" s="22"/>
      <c r="R41" s="22"/>
      <c r="S41" s="3"/>
      <c r="U41" s="2"/>
      <c r="V41" s="3"/>
      <c r="X41" s="2"/>
    </row>
    <row r="42" spans="1:24" x14ac:dyDescent="0.25">
      <c r="A42" s="15"/>
      <c r="B42" s="19"/>
      <c r="C42" s="9"/>
      <c r="D42" s="9"/>
      <c r="E42" s="9"/>
      <c r="F42" s="9"/>
      <c r="G42" s="32"/>
      <c r="H42" s="32"/>
      <c r="I42" s="22"/>
      <c r="J42" s="22"/>
      <c r="K42" s="22"/>
      <c r="L42" s="22"/>
      <c r="M42" s="22"/>
      <c r="N42" s="22"/>
      <c r="O42" s="22"/>
      <c r="P42" s="22"/>
      <c r="Q42" s="22"/>
      <c r="R42" s="22"/>
      <c r="S42" s="3"/>
      <c r="U42" s="2"/>
      <c r="V42" s="3"/>
      <c r="X42" s="2"/>
    </row>
    <row r="43" spans="1:24" x14ac:dyDescent="0.25">
      <c r="A43" s="7"/>
      <c r="B43" s="19"/>
      <c r="C43" s="9"/>
      <c r="D43" s="9"/>
      <c r="E43" s="9"/>
      <c r="F43" s="9"/>
      <c r="G43" s="32"/>
      <c r="H43" s="32"/>
      <c r="I43" s="22"/>
      <c r="J43" s="22"/>
      <c r="K43" s="22"/>
      <c r="L43" s="22"/>
      <c r="M43" s="22"/>
      <c r="N43" s="22"/>
      <c r="O43" s="22"/>
      <c r="P43" s="22"/>
      <c r="Q43" s="22"/>
      <c r="R43" s="22"/>
      <c r="S43" s="3"/>
      <c r="U43" s="2"/>
      <c r="V43" s="3"/>
      <c r="X43" s="2"/>
    </row>
    <row r="44" spans="1:24" x14ac:dyDescent="0.25">
      <c r="A44" s="15"/>
      <c r="B44" s="19"/>
      <c r="C44" s="9"/>
      <c r="D44" s="9"/>
      <c r="E44" s="9"/>
      <c r="F44" s="9"/>
      <c r="G44" s="32"/>
      <c r="H44" s="32"/>
      <c r="I44" s="22"/>
      <c r="J44" s="22"/>
      <c r="K44" s="22"/>
      <c r="L44" s="22"/>
      <c r="M44" s="22"/>
      <c r="N44" s="22"/>
      <c r="O44" s="22"/>
      <c r="P44" s="22"/>
      <c r="Q44" s="22"/>
      <c r="R44" s="22"/>
      <c r="S44" s="3"/>
      <c r="U44" s="2"/>
      <c r="V44" s="3"/>
      <c r="X44" s="2"/>
    </row>
    <row r="45" spans="1:24" x14ac:dyDescent="0.25">
      <c r="A45" s="15"/>
      <c r="B45" s="19"/>
      <c r="C45" s="9"/>
      <c r="D45" s="9"/>
      <c r="E45" s="9"/>
      <c r="F45" s="9"/>
      <c r="G45" s="32"/>
      <c r="H45" s="32"/>
      <c r="I45" s="22"/>
      <c r="J45" s="22"/>
      <c r="K45" s="22"/>
      <c r="L45" s="22"/>
      <c r="M45" s="22"/>
      <c r="N45" s="22"/>
      <c r="O45" s="22"/>
      <c r="P45" s="22"/>
      <c r="Q45" s="22"/>
      <c r="R45" s="22"/>
      <c r="S45" s="3"/>
      <c r="U45" s="2"/>
      <c r="V45" s="3"/>
      <c r="X45" s="2"/>
    </row>
    <row r="46" spans="1:24" x14ac:dyDescent="0.25">
      <c r="A46" s="7"/>
      <c r="B46" s="19"/>
      <c r="C46" s="9"/>
      <c r="D46" s="9"/>
      <c r="E46" s="9"/>
      <c r="F46" s="9"/>
      <c r="G46" s="32"/>
      <c r="H46" s="32"/>
      <c r="I46" s="22"/>
      <c r="J46" s="22"/>
      <c r="K46" s="22"/>
      <c r="L46" s="22"/>
      <c r="M46" s="22"/>
      <c r="N46" s="22"/>
      <c r="O46" s="22"/>
      <c r="P46" s="22"/>
      <c r="Q46" s="22"/>
      <c r="R46" s="22"/>
      <c r="S46" s="3"/>
      <c r="U46" s="2"/>
      <c r="V46" s="3"/>
      <c r="X46" s="2"/>
    </row>
    <row r="47" spans="1:24" x14ac:dyDescent="0.25">
      <c r="A47" s="7"/>
      <c r="B47" s="19"/>
      <c r="C47" s="9"/>
      <c r="D47" s="9"/>
      <c r="E47" s="9"/>
      <c r="F47" s="9"/>
      <c r="G47" s="32"/>
      <c r="H47" s="32"/>
      <c r="I47" s="22"/>
      <c r="J47" s="22"/>
      <c r="K47" s="22"/>
      <c r="L47" s="22"/>
      <c r="M47" s="22"/>
      <c r="N47" s="22"/>
      <c r="O47" s="22"/>
      <c r="P47" s="22"/>
      <c r="Q47" s="22"/>
      <c r="R47" s="22"/>
      <c r="S47" s="3"/>
      <c r="U47" s="2"/>
      <c r="V47" s="3"/>
      <c r="X47" s="2"/>
    </row>
    <row r="48" spans="1:24" x14ac:dyDescent="0.25">
      <c r="A48" s="7"/>
      <c r="B48" s="19"/>
      <c r="C48" s="9"/>
      <c r="D48" s="9"/>
      <c r="E48" s="9"/>
      <c r="F48" s="9"/>
      <c r="G48" s="32"/>
      <c r="H48" s="32"/>
      <c r="I48" s="22"/>
      <c r="J48" s="22"/>
      <c r="K48" s="22"/>
      <c r="L48" s="22"/>
      <c r="M48" s="22"/>
      <c r="N48" s="22"/>
      <c r="O48" s="22"/>
      <c r="P48" s="22"/>
      <c r="Q48" s="22"/>
      <c r="R48" s="22"/>
      <c r="S48" s="3"/>
      <c r="U48" s="2"/>
      <c r="V48" s="3"/>
      <c r="X48" s="2"/>
    </row>
    <row r="49" spans="1:24" x14ac:dyDescent="0.25">
      <c r="A49" s="7"/>
      <c r="B49" s="19"/>
      <c r="C49" s="9"/>
      <c r="D49" s="9"/>
      <c r="E49" s="9"/>
      <c r="F49" s="9"/>
      <c r="G49" s="32"/>
      <c r="H49" s="32"/>
      <c r="I49" s="22"/>
      <c r="J49" s="22"/>
      <c r="K49" s="22"/>
      <c r="L49" s="22"/>
      <c r="M49" s="22"/>
      <c r="N49" s="22"/>
      <c r="O49" s="22"/>
      <c r="P49" s="22"/>
      <c r="Q49" s="22"/>
      <c r="R49" s="22"/>
      <c r="S49" s="3"/>
      <c r="U49" s="2"/>
      <c r="V49" s="3"/>
      <c r="X49" s="2"/>
    </row>
    <row r="50" spans="1:24" x14ac:dyDescent="0.25">
      <c r="A50" s="7"/>
      <c r="B50" s="19"/>
      <c r="C50" s="9"/>
      <c r="D50" s="9"/>
      <c r="E50" s="9"/>
      <c r="F50" s="9"/>
      <c r="G50" s="32"/>
      <c r="H50" s="32"/>
      <c r="I50" s="22"/>
      <c r="J50" s="22"/>
      <c r="K50" s="22"/>
      <c r="L50" s="22"/>
      <c r="M50" s="22"/>
      <c r="N50" s="22"/>
      <c r="O50" s="22"/>
      <c r="P50" s="22"/>
      <c r="Q50" s="22"/>
      <c r="R50" s="22"/>
      <c r="S50" s="3"/>
      <c r="U50" s="2"/>
      <c r="V50" s="3"/>
      <c r="X50" s="2"/>
    </row>
    <row r="51" spans="1:24" x14ac:dyDescent="0.25">
      <c r="A51" s="7"/>
      <c r="B51" s="19"/>
      <c r="C51" s="9"/>
      <c r="D51" s="9"/>
      <c r="E51" s="9"/>
      <c r="F51" s="9"/>
      <c r="G51" s="32"/>
      <c r="H51" s="32"/>
      <c r="I51" s="22"/>
      <c r="J51" s="22"/>
      <c r="K51" s="22"/>
      <c r="L51" s="22"/>
      <c r="M51" s="22"/>
      <c r="N51" s="22"/>
      <c r="O51" s="22"/>
      <c r="P51" s="22"/>
      <c r="Q51" s="22"/>
      <c r="R51" s="22"/>
      <c r="S51" s="3"/>
      <c r="U51" s="2"/>
      <c r="V51" s="3"/>
      <c r="X51" s="2"/>
    </row>
    <row r="52" spans="1:24" x14ac:dyDescent="0.25">
      <c r="A52" s="7"/>
      <c r="B52" s="19"/>
      <c r="C52" s="9"/>
      <c r="D52" s="9"/>
      <c r="E52" s="9"/>
      <c r="F52" s="9"/>
      <c r="G52" s="32"/>
      <c r="H52" s="32"/>
      <c r="I52" s="22"/>
      <c r="J52" s="22"/>
      <c r="K52" s="22"/>
      <c r="L52" s="22"/>
      <c r="M52" s="22"/>
      <c r="N52" s="22"/>
      <c r="O52" s="22"/>
      <c r="P52" s="22"/>
      <c r="Q52" s="22"/>
      <c r="R52" s="22"/>
      <c r="S52" s="3"/>
      <c r="U52" s="2"/>
      <c r="V52" s="3"/>
      <c r="X52" s="2"/>
    </row>
    <row r="53" spans="1:24" x14ac:dyDescent="0.25">
      <c r="A53" s="15"/>
      <c r="B53" s="19"/>
      <c r="C53" s="9"/>
      <c r="D53" s="9"/>
      <c r="E53" s="9"/>
      <c r="F53" s="9"/>
      <c r="G53" s="32"/>
      <c r="H53" s="32"/>
      <c r="I53" s="22"/>
      <c r="J53" s="22"/>
      <c r="K53" s="22"/>
      <c r="L53" s="22"/>
      <c r="M53" s="22"/>
      <c r="N53" s="22"/>
      <c r="O53" s="22"/>
      <c r="P53" s="22"/>
      <c r="Q53" s="22"/>
      <c r="R53" s="22"/>
      <c r="S53" s="3"/>
      <c r="U53" s="2"/>
      <c r="V53" s="3"/>
      <c r="X53" s="2"/>
    </row>
    <row r="54" spans="1:24" x14ac:dyDescent="0.25">
      <c r="A54" s="7"/>
      <c r="B54" s="19"/>
      <c r="C54" s="9"/>
      <c r="D54" s="9"/>
      <c r="E54" s="9"/>
      <c r="F54" s="9"/>
      <c r="G54" s="32"/>
      <c r="H54" s="32"/>
      <c r="I54" s="22"/>
      <c r="J54" s="22"/>
      <c r="K54" s="22"/>
      <c r="L54" s="22"/>
      <c r="M54" s="22"/>
      <c r="N54" s="22"/>
      <c r="O54" s="22"/>
      <c r="P54" s="22"/>
      <c r="Q54" s="22"/>
      <c r="R54" s="22"/>
      <c r="S54" s="3"/>
      <c r="U54" s="2"/>
      <c r="V54" s="3"/>
      <c r="X54" s="2"/>
    </row>
    <row r="55" spans="1:24" x14ac:dyDescent="0.25">
      <c r="A55" s="7"/>
      <c r="B55" s="19"/>
      <c r="C55" s="9"/>
      <c r="D55" s="9"/>
      <c r="E55" s="9"/>
      <c r="F55" s="9"/>
      <c r="G55" s="32"/>
      <c r="H55" s="32"/>
      <c r="I55" s="22"/>
      <c r="J55" s="22"/>
      <c r="K55" s="22"/>
      <c r="L55" s="22"/>
      <c r="M55" s="22"/>
      <c r="N55" s="22"/>
      <c r="O55" s="22"/>
      <c r="P55" s="22"/>
      <c r="Q55" s="22"/>
      <c r="R55" s="22"/>
      <c r="S55" s="3"/>
      <c r="U55" s="2"/>
      <c r="V55" s="3"/>
      <c r="X55" s="2"/>
    </row>
    <row r="56" spans="1:24" x14ac:dyDescent="0.25">
      <c r="A56" s="15"/>
      <c r="B56" s="19"/>
      <c r="C56" s="9"/>
      <c r="D56" s="9"/>
      <c r="E56" s="9"/>
      <c r="F56" s="9"/>
      <c r="G56" s="32"/>
      <c r="H56" s="32"/>
      <c r="I56" s="22"/>
      <c r="J56" s="22"/>
      <c r="K56" s="22"/>
      <c r="L56" s="22"/>
      <c r="M56" s="22"/>
      <c r="N56" s="22"/>
      <c r="O56" s="22"/>
      <c r="P56" s="22"/>
      <c r="Q56" s="22"/>
      <c r="R56" s="22"/>
      <c r="S56" s="3"/>
      <c r="U56" s="2"/>
      <c r="V56" s="3"/>
      <c r="X56" s="2"/>
    </row>
    <row r="57" spans="1:24" x14ac:dyDescent="0.25">
      <c r="A57" s="7"/>
      <c r="B57" s="19"/>
      <c r="C57" s="9"/>
      <c r="D57" s="9"/>
      <c r="E57" s="9"/>
      <c r="F57" s="9"/>
      <c r="G57" s="32"/>
      <c r="H57" s="32"/>
      <c r="I57" s="22"/>
      <c r="J57" s="22"/>
      <c r="K57" s="22"/>
      <c r="L57" s="22"/>
      <c r="M57" s="22"/>
      <c r="N57" s="22"/>
      <c r="O57" s="22"/>
      <c r="P57" s="22"/>
      <c r="Q57" s="22"/>
      <c r="R57" s="22"/>
      <c r="S57" s="3"/>
      <c r="U57" s="2"/>
      <c r="V57" s="3"/>
      <c r="X57" s="2"/>
    </row>
    <row r="58" spans="1:24" x14ac:dyDescent="0.25">
      <c r="A58" s="15"/>
      <c r="B58" s="19"/>
      <c r="C58" s="9"/>
      <c r="D58" s="9"/>
      <c r="E58" s="9"/>
      <c r="F58" s="9"/>
      <c r="G58" s="32"/>
      <c r="H58" s="32"/>
      <c r="I58" s="22"/>
      <c r="J58" s="22"/>
      <c r="K58" s="22"/>
      <c r="L58" s="22"/>
      <c r="M58" s="22"/>
      <c r="N58" s="22"/>
      <c r="O58" s="22"/>
      <c r="P58" s="22"/>
      <c r="Q58" s="22"/>
      <c r="R58" s="22"/>
      <c r="S58" s="3"/>
      <c r="U58" s="2"/>
      <c r="V58" s="3"/>
      <c r="X58" s="2"/>
    </row>
    <row r="59" spans="1:24" x14ac:dyDescent="0.25">
      <c r="A59" s="7"/>
      <c r="B59" s="19"/>
      <c r="C59" s="9"/>
      <c r="D59" s="9"/>
      <c r="E59" s="9"/>
      <c r="F59" s="9"/>
      <c r="G59" s="32"/>
      <c r="H59" s="32"/>
      <c r="I59" s="22"/>
      <c r="J59" s="22"/>
      <c r="K59" s="22"/>
      <c r="L59" s="22"/>
      <c r="M59" s="22"/>
      <c r="N59" s="22"/>
      <c r="O59" s="22"/>
      <c r="P59" s="22"/>
      <c r="Q59" s="22"/>
      <c r="R59" s="22"/>
      <c r="S59" s="3"/>
      <c r="U59" s="2"/>
      <c r="V59" s="3"/>
      <c r="X59" s="2"/>
    </row>
    <row r="60" spans="1:24" x14ac:dyDescent="0.25">
      <c r="A60" s="7"/>
      <c r="B60" s="19"/>
      <c r="C60" s="9"/>
      <c r="D60" s="9"/>
      <c r="E60" s="9"/>
      <c r="F60" s="9"/>
      <c r="G60" s="32"/>
      <c r="H60" s="32"/>
      <c r="I60" s="22"/>
      <c r="J60" s="22"/>
      <c r="K60" s="22"/>
      <c r="L60" s="22"/>
      <c r="M60" s="22"/>
      <c r="N60" s="22"/>
      <c r="O60" s="22"/>
      <c r="P60" s="22"/>
      <c r="Q60" s="22"/>
      <c r="R60" s="22"/>
      <c r="S60" s="3"/>
      <c r="U60" s="2"/>
      <c r="V60" s="3"/>
      <c r="X60" s="2"/>
    </row>
    <row r="61" spans="1:24" x14ac:dyDescent="0.25">
      <c r="A61" s="7"/>
      <c r="B61" s="19"/>
      <c r="C61" s="9"/>
      <c r="D61" s="9"/>
      <c r="E61" s="9"/>
      <c r="F61" s="9"/>
      <c r="G61" s="32"/>
      <c r="H61" s="32"/>
      <c r="I61" s="22"/>
      <c r="J61" s="22"/>
      <c r="K61" s="22"/>
      <c r="L61" s="22"/>
      <c r="M61" s="22"/>
      <c r="N61" s="22"/>
      <c r="O61" s="22"/>
      <c r="P61" s="22"/>
      <c r="Q61" s="22"/>
      <c r="R61" s="22"/>
      <c r="S61" s="3"/>
      <c r="U61" s="2"/>
      <c r="V61" s="3"/>
      <c r="X61" s="2"/>
    </row>
    <row r="62" spans="1:24" x14ac:dyDescent="0.25">
      <c r="A62" s="7"/>
      <c r="B62" s="19"/>
      <c r="C62" s="9"/>
      <c r="D62" s="9"/>
      <c r="E62" s="9"/>
      <c r="F62" s="9"/>
      <c r="G62" s="32"/>
      <c r="H62" s="32"/>
      <c r="I62" s="22"/>
      <c r="J62" s="22"/>
      <c r="K62" s="22"/>
      <c r="L62" s="22"/>
      <c r="M62" s="22"/>
      <c r="N62" s="22"/>
      <c r="O62" s="22"/>
      <c r="P62" s="22"/>
      <c r="Q62" s="22"/>
      <c r="R62" s="22"/>
      <c r="S62" s="3"/>
      <c r="U62" s="2"/>
      <c r="V62" s="3"/>
      <c r="X62" s="2"/>
    </row>
    <row r="63" spans="1:24" x14ac:dyDescent="0.25">
      <c r="A63" s="15"/>
      <c r="B63" s="19"/>
      <c r="C63" s="9"/>
      <c r="D63" s="9"/>
      <c r="E63" s="9"/>
      <c r="F63" s="9"/>
      <c r="G63" s="32"/>
      <c r="H63" s="32"/>
      <c r="I63" s="22"/>
      <c r="J63" s="22"/>
      <c r="K63" s="22"/>
      <c r="L63" s="22"/>
      <c r="M63" s="22"/>
      <c r="N63" s="22"/>
      <c r="O63" s="22"/>
      <c r="P63" s="22"/>
      <c r="Q63" s="22"/>
      <c r="R63" s="22"/>
      <c r="S63" s="3"/>
      <c r="U63" s="2"/>
      <c r="V63" s="3"/>
      <c r="X63" s="2"/>
    </row>
    <row r="64" spans="1:24" x14ac:dyDescent="0.25">
      <c r="A64" s="7"/>
      <c r="B64" s="19"/>
      <c r="C64" s="9"/>
      <c r="D64" s="9"/>
      <c r="E64" s="9"/>
      <c r="F64" s="9"/>
      <c r="G64" s="32"/>
      <c r="H64" s="32"/>
      <c r="I64" s="22"/>
      <c r="J64" s="22"/>
      <c r="K64" s="22"/>
      <c r="L64" s="22"/>
      <c r="M64" s="22"/>
      <c r="N64" s="22"/>
      <c r="O64" s="22"/>
      <c r="P64" s="22"/>
      <c r="Q64" s="22"/>
      <c r="R64" s="22"/>
      <c r="S64" s="3"/>
      <c r="U64" s="2"/>
      <c r="V64" s="3"/>
      <c r="X64" s="2"/>
    </row>
    <row r="65" spans="1:24" x14ac:dyDescent="0.25">
      <c r="A65" s="15"/>
      <c r="B65" s="19"/>
      <c r="C65" s="9"/>
      <c r="D65" s="9"/>
      <c r="E65" s="9"/>
      <c r="F65" s="9"/>
      <c r="G65" s="32"/>
      <c r="H65" s="32"/>
      <c r="I65" s="22"/>
      <c r="J65" s="22"/>
      <c r="K65" s="22"/>
      <c r="L65" s="22"/>
      <c r="M65" s="22"/>
      <c r="N65" s="22"/>
      <c r="O65" s="22"/>
      <c r="P65" s="22"/>
      <c r="Q65" s="22"/>
      <c r="R65" s="22"/>
      <c r="S65" s="3"/>
      <c r="U65" s="2"/>
      <c r="V65" s="3"/>
      <c r="X65" s="2"/>
    </row>
    <row r="66" spans="1:24" x14ac:dyDescent="0.25">
      <c r="A66" s="15"/>
      <c r="B66" s="19"/>
      <c r="C66" s="9"/>
      <c r="D66" s="9"/>
      <c r="E66" s="9"/>
      <c r="F66" s="9"/>
      <c r="G66" s="32"/>
      <c r="H66" s="32"/>
      <c r="I66" s="22"/>
      <c r="J66" s="22"/>
      <c r="K66" s="22"/>
      <c r="L66" s="22"/>
      <c r="M66" s="22"/>
      <c r="N66" s="22"/>
      <c r="O66" s="22"/>
      <c r="P66" s="22"/>
      <c r="Q66" s="22"/>
      <c r="R66" s="22"/>
      <c r="S66" s="3"/>
      <c r="U66" s="2"/>
      <c r="V66" s="3"/>
      <c r="X66" s="2"/>
    </row>
    <row r="67" spans="1:24" x14ac:dyDescent="0.25">
      <c r="A67" s="7"/>
      <c r="B67" s="19"/>
      <c r="C67" s="9"/>
      <c r="D67" s="9"/>
      <c r="E67" s="9"/>
      <c r="F67" s="9"/>
      <c r="G67" s="32"/>
      <c r="H67" s="32"/>
      <c r="I67" s="22"/>
      <c r="J67" s="22"/>
      <c r="K67" s="22"/>
      <c r="L67" s="22"/>
      <c r="M67" s="22"/>
      <c r="N67" s="22"/>
      <c r="O67" s="22"/>
      <c r="P67" s="22"/>
      <c r="Q67" s="22"/>
      <c r="R67" s="22"/>
      <c r="S67" s="3"/>
      <c r="U67" s="2"/>
      <c r="V67" s="3"/>
      <c r="X67" s="2"/>
    </row>
    <row r="68" spans="1:24" x14ac:dyDescent="0.25">
      <c r="A68" s="15"/>
      <c r="B68" s="19"/>
      <c r="C68" s="9"/>
      <c r="D68" s="9"/>
      <c r="E68" s="9"/>
      <c r="F68" s="9"/>
      <c r="G68" s="32"/>
      <c r="H68" s="32"/>
      <c r="I68" s="22"/>
      <c r="J68" s="22"/>
      <c r="K68" s="22"/>
      <c r="L68" s="22"/>
      <c r="M68" s="22"/>
      <c r="N68" s="22"/>
      <c r="O68" s="22"/>
      <c r="P68" s="22"/>
      <c r="Q68" s="22"/>
      <c r="R68" s="22"/>
      <c r="S68" s="3"/>
      <c r="U68" s="2"/>
      <c r="V68" s="3"/>
      <c r="X68" s="2"/>
    </row>
    <row r="69" spans="1:24" x14ac:dyDescent="0.25">
      <c r="A69" s="15"/>
      <c r="B69" s="19"/>
      <c r="C69" s="9"/>
      <c r="D69" s="9"/>
      <c r="E69" s="9"/>
      <c r="F69" s="9"/>
      <c r="G69" s="32"/>
      <c r="H69" s="32"/>
      <c r="I69" s="22"/>
      <c r="J69" s="22"/>
      <c r="K69" s="22"/>
      <c r="L69" s="22"/>
      <c r="M69" s="22"/>
      <c r="N69" s="22"/>
      <c r="O69" s="22"/>
      <c r="P69" s="22"/>
      <c r="Q69" s="22"/>
      <c r="R69" s="22"/>
      <c r="S69" s="3"/>
      <c r="U69" s="2"/>
      <c r="V69" s="3"/>
      <c r="X69" s="2"/>
    </row>
    <row r="70" spans="1:24" x14ac:dyDescent="0.25">
      <c r="A70" s="7"/>
      <c r="B70" s="19"/>
      <c r="C70" s="9"/>
      <c r="D70" s="9"/>
      <c r="E70" s="9"/>
      <c r="F70" s="9"/>
      <c r="G70" s="32"/>
      <c r="H70" s="32"/>
      <c r="I70" s="22"/>
      <c r="J70" s="22"/>
      <c r="K70" s="22"/>
      <c r="L70" s="22"/>
      <c r="M70" s="22"/>
      <c r="N70" s="22"/>
      <c r="O70" s="22"/>
      <c r="P70" s="22"/>
      <c r="Q70" s="22"/>
      <c r="R70" s="22"/>
      <c r="S70" s="3"/>
      <c r="U70" s="2"/>
      <c r="V70" s="3"/>
      <c r="X70" s="2"/>
    </row>
    <row r="71" spans="1:24" x14ac:dyDescent="0.25">
      <c r="A71" s="15"/>
      <c r="B71" s="19"/>
      <c r="C71" s="9"/>
      <c r="D71" s="9"/>
      <c r="E71" s="9"/>
      <c r="F71" s="9"/>
      <c r="G71" s="32"/>
      <c r="H71" s="32"/>
      <c r="I71" s="22"/>
      <c r="J71" s="22"/>
      <c r="K71" s="22"/>
      <c r="L71" s="22"/>
      <c r="M71" s="22"/>
      <c r="N71" s="22"/>
      <c r="O71" s="22"/>
      <c r="P71" s="22"/>
      <c r="Q71" s="22"/>
      <c r="R71" s="22"/>
      <c r="S71" s="3"/>
      <c r="U71" s="2"/>
      <c r="V71" s="3"/>
      <c r="X71" s="2"/>
    </row>
    <row r="72" spans="1:24" x14ac:dyDescent="0.25">
      <c r="A72" s="7"/>
      <c r="B72" s="19"/>
      <c r="C72" s="9"/>
      <c r="D72" s="9"/>
      <c r="E72" s="9"/>
      <c r="F72" s="9"/>
      <c r="G72" s="32"/>
      <c r="H72" s="32"/>
      <c r="I72" s="22"/>
      <c r="J72" s="22"/>
      <c r="K72" s="22"/>
      <c r="L72" s="22"/>
      <c r="M72" s="22"/>
      <c r="N72" s="22"/>
      <c r="O72" s="22"/>
      <c r="P72" s="22"/>
      <c r="Q72" s="22"/>
      <c r="R72" s="22"/>
      <c r="S72" s="3"/>
      <c r="U72" s="2"/>
      <c r="V72" s="3"/>
      <c r="X72" s="2"/>
    </row>
    <row r="73" spans="1:24" x14ac:dyDescent="0.25">
      <c r="A73" s="7"/>
      <c r="B73" s="19"/>
      <c r="C73" s="9"/>
      <c r="D73" s="9"/>
      <c r="E73" s="9"/>
      <c r="F73" s="9"/>
      <c r="G73" s="32"/>
      <c r="H73" s="32"/>
      <c r="I73" s="22"/>
      <c r="J73" s="22"/>
      <c r="K73" s="22"/>
      <c r="L73" s="22"/>
      <c r="M73" s="22"/>
      <c r="N73" s="22"/>
      <c r="O73" s="22"/>
      <c r="P73" s="22"/>
      <c r="Q73" s="22"/>
      <c r="R73" s="22"/>
      <c r="S73" s="3"/>
      <c r="U73" s="2"/>
      <c r="V73" s="3"/>
      <c r="X73" s="2"/>
    </row>
    <row r="74" spans="1:24" x14ac:dyDescent="0.25">
      <c r="A74" s="7"/>
      <c r="B74" s="19"/>
      <c r="C74" s="9"/>
      <c r="D74" s="9"/>
      <c r="E74" s="9"/>
      <c r="F74" s="9"/>
      <c r="G74" s="32"/>
      <c r="H74" s="32"/>
      <c r="I74" s="22"/>
      <c r="J74" s="22"/>
      <c r="K74" s="22"/>
      <c r="L74" s="22"/>
      <c r="M74" s="22"/>
      <c r="N74" s="22"/>
      <c r="O74" s="22"/>
      <c r="P74" s="22"/>
      <c r="Q74" s="22"/>
      <c r="R74" s="22"/>
      <c r="S74" s="3"/>
      <c r="U74" s="2"/>
      <c r="V74" s="3"/>
      <c r="X74" s="2"/>
    </row>
    <row r="75" spans="1:24" x14ac:dyDescent="0.25">
      <c r="A75" s="7"/>
      <c r="B75" s="7"/>
      <c r="C75" s="9"/>
      <c r="D75" s="9"/>
      <c r="E75" s="9"/>
      <c r="F75" s="9"/>
      <c r="G75" s="32"/>
      <c r="H75" s="32"/>
      <c r="I75" s="3"/>
      <c r="J75" s="22"/>
      <c r="K75" s="22"/>
      <c r="L75" s="22"/>
      <c r="M75" s="22"/>
      <c r="N75" s="22"/>
      <c r="O75" s="22"/>
      <c r="P75" s="22"/>
      <c r="Q75" s="22"/>
      <c r="R75" s="22"/>
      <c r="S75" s="3"/>
      <c r="U75" s="2"/>
      <c r="V75" s="3"/>
      <c r="X75" s="2"/>
    </row>
    <row r="76" spans="1:24" x14ac:dyDescent="0.25">
      <c r="A76" s="7"/>
      <c r="B76" s="7"/>
      <c r="C76" s="9"/>
      <c r="D76" s="9"/>
      <c r="E76" s="9"/>
      <c r="F76" s="9"/>
      <c r="G76" s="32"/>
      <c r="H76" s="32"/>
      <c r="I76" s="3"/>
      <c r="J76" s="3"/>
      <c r="K76" s="3"/>
      <c r="L76" s="3"/>
      <c r="M76" s="3"/>
      <c r="N76" s="3"/>
      <c r="O76" s="3"/>
      <c r="P76" s="3"/>
      <c r="Q76" s="3"/>
      <c r="R76" s="3"/>
      <c r="S76" s="3"/>
      <c r="U76" s="2"/>
      <c r="V76" s="3"/>
      <c r="X76" s="2"/>
    </row>
    <row r="77" spans="1:24" x14ac:dyDescent="0.25">
      <c r="A77" s="15"/>
      <c r="B77" s="19"/>
      <c r="C77" s="9"/>
      <c r="D77" s="9"/>
      <c r="E77" s="9"/>
      <c r="F77" s="9"/>
      <c r="G77" s="32"/>
      <c r="H77" s="32"/>
      <c r="I77" s="22"/>
      <c r="J77" s="3"/>
      <c r="K77" s="3"/>
      <c r="L77" s="3"/>
      <c r="M77" s="3"/>
      <c r="N77" s="3"/>
      <c r="O77" s="3"/>
      <c r="P77" s="3"/>
      <c r="Q77" s="3"/>
      <c r="R77" s="3"/>
      <c r="S77" s="3"/>
      <c r="U77" s="2"/>
      <c r="V77" s="3"/>
      <c r="X77" s="2"/>
    </row>
    <row r="78" spans="1:24" x14ac:dyDescent="0.25">
      <c r="A78" s="7"/>
      <c r="B78" s="19"/>
      <c r="C78" s="9"/>
      <c r="D78" s="9"/>
      <c r="E78" s="9"/>
      <c r="F78" s="9"/>
      <c r="G78" s="32"/>
      <c r="H78" s="32"/>
      <c r="I78" s="22"/>
      <c r="J78" s="22"/>
      <c r="K78" s="22"/>
      <c r="L78" s="22"/>
      <c r="M78" s="22"/>
      <c r="N78" s="22"/>
      <c r="O78" s="22"/>
      <c r="P78" s="22"/>
      <c r="Q78" s="22"/>
      <c r="R78" s="22"/>
      <c r="S78" s="3"/>
      <c r="U78" s="2"/>
      <c r="V78" s="3"/>
      <c r="X78" s="2"/>
    </row>
    <row r="79" spans="1:24" x14ac:dyDescent="0.25">
      <c r="A79" s="15"/>
      <c r="B79" s="19"/>
      <c r="C79" s="9"/>
      <c r="D79" s="9"/>
      <c r="E79" s="9"/>
      <c r="F79" s="9"/>
      <c r="G79" s="32"/>
      <c r="H79" s="32"/>
      <c r="I79" s="22"/>
      <c r="J79" s="22"/>
      <c r="K79" s="22"/>
      <c r="L79" s="22"/>
      <c r="M79" s="22"/>
      <c r="N79" s="22"/>
      <c r="O79" s="22"/>
      <c r="P79" s="22"/>
      <c r="Q79" s="22"/>
      <c r="R79" s="22"/>
      <c r="S79" s="3"/>
      <c r="U79" s="2"/>
      <c r="V79" s="3"/>
      <c r="X79" s="2"/>
    </row>
    <row r="80" spans="1:24" x14ac:dyDescent="0.25">
      <c r="A80" s="15"/>
      <c r="B80" s="19"/>
      <c r="C80" s="9"/>
      <c r="D80" s="9"/>
      <c r="E80" s="9"/>
      <c r="F80" s="9"/>
      <c r="G80" s="32"/>
      <c r="H80" s="32"/>
      <c r="I80" s="22"/>
      <c r="J80" s="22"/>
      <c r="K80" s="22"/>
      <c r="L80" s="22"/>
      <c r="M80" s="22"/>
      <c r="N80" s="22"/>
      <c r="O80" s="22"/>
      <c r="P80" s="22"/>
      <c r="Q80" s="22"/>
      <c r="R80" s="22"/>
      <c r="S80" s="3"/>
      <c r="U80" s="2"/>
      <c r="V80" s="3"/>
      <c r="X80" s="2"/>
    </row>
    <row r="81" spans="1:24" x14ac:dyDescent="0.25">
      <c r="A81" s="15"/>
      <c r="B81" s="19"/>
      <c r="C81" s="9"/>
      <c r="D81" s="9"/>
      <c r="E81" s="9"/>
      <c r="F81" s="9"/>
      <c r="G81" s="32"/>
      <c r="H81" s="32"/>
      <c r="I81" s="22"/>
      <c r="J81" s="22"/>
      <c r="K81" s="22"/>
      <c r="L81" s="22"/>
      <c r="M81" s="22"/>
      <c r="N81" s="22"/>
      <c r="O81" s="22"/>
      <c r="P81" s="22"/>
      <c r="Q81" s="22"/>
      <c r="R81" s="22"/>
      <c r="S81" s="3"/>
      <c r="U81" s="2"/>
      <c r="V81" s="3"/>
      <c r="X81" s="2"/>
    </row>
    <row r="82" spans="1:24" x14ac:dyDescent="0.25">
      <c r="A82" s="15"/>
      <c r="B82" s="19"/>
      <c r="C82" s="9"/>
      <c r="D82" s="9"/>
      <c r="E82" s="9"/>
      <c r="F82" s="9"/>
      <c r="G82" s="32"/>
      <c r="H82" s="32"/>
      <c r="I82" s="22"/>
      <c r="J82" s="22"/>
      <c r="K82" s="22"/>
      <c r="L82" s="22"/>
      <c r="M82" s="22"/>
      <c r="N82" s="22"/>
      <c r="O82" s="22"/>
      <c r="P82" s="22"/>
      <c r="Q82" s="22"/>
      <c r="R82" s="22"/>
      <c r="S82" s="3"/>
      <c r="U82" s="2"/>
      <c r="V82" s="3"/>
      <c r="X82" s="2"/>
    </row>
    <row r="83" spans="1:24" x14ac:dyDescent="0.25">
      <c r="A83" s="15"/>
      <c r="B83" s="19"/>
      <c r="C83" s="9"/>
      <c r="D83" s="9"/>
      <c r="E83" s="9"/>
      <c r="F83" s="9"/>
      <c r="G83" s="32"/>
      <c r="H83" s="32"/>
      <c r="I83" s="22"/>
      <c r="J83" s="22"/>
      <c r="K83" s="22"/>
      <c r="L83" s="22"/>
      <c r="M83" s="22"/>
      <c r="N83" s="22"/>
      <c r="O83" s="22"/>
      <c r="P83" s="22"/>
      <c r="Q83" s="22"/>
      <c r="R83" s="22"/>
      <c r="S83" s="3"/>
      <c r="U83" s="2"/>
      <c r="V83" s="3"/>
      <c r="X83" s="2"/>
    </row>
    <row r="84" spans="1:24" x14ac:dyDescent="0.25">
      <c r="A84" s="7"/>
      <c r="B84" s="7"/>
      <c r="C84" s="9"/>
      <c r="D84" s="9"/>
      <c r="E84" s="9"/>
      <c r="F84" s="9"/>
      <c r="G84" s="32"/>
      <c r="H84" s="32"/>
      <c r="I84" s="3"/>
      <c r="J84" s="22"/>
      <c r="K84" s="22"/>
      <c r="L84" s="22"/>
      <c r="M84" s="22"/>
      <c r="N84" s="22"/>
      <c r="O84" s="22"/>
      <c r="P84" s="22"/>
      <c r="Q84" s="22"/>
      <c r="R84" s="22"/>
      <c r="S84" s="3"/>
      <c r="U84" s="2"/>
      <c r="V84" s="3"/>
      <c r="X84" s="2"/>
    </row>
    <row r="85" spans="1:24" x14ac:dyDescent="0.25">
      <c r="A85" s="7"/>
      <c r="B85" s="7"/>
      <c r="C85" s="9"/>
      <c r="D85" s="9"/>
      <c r="E85" s="9"/>
      <c r="F85" s="9"/>
      <c r="G85" s="32"/>
      <c r="H85" s="32"/>
      <c r="I85" s="3"/>
      <c r="J85" s="3"/>
      <c r="K85" s="3"/>
      <c r="L85" s="3"/>
      <c r="M85" s="3"/>
      <c r="N85" s="3"/>
      <c r="O85" s="3"/>
      <c r="P85" s="3"/>
      <c r="Q85" s="3"/>
      <c r="R85" s="3"/>
      <c r="S85" s="3"/>
      <c r="U85" s="2"/>
      <c r="V85" s="3"/>
      <c r="X85" s="2"/>
    </row>
    <row r="86" spans="1:24" x14ac:dyDescent="0.25">
      <c r="A86" s="7"/>
      <c r="B86" s="7"/>
      <c r="C86" s="9"/>
      <c r="D86" s="9"/>
      <c r="E86" s="9"/>
      <c r="F86" s="9"/>
      <c r="G86" s="32"/>
      <c r="H86" s="32"/>
      <c r="I86" s="3"/>
      <c r="J86" s="3"/>
      <c r="K86" s="3"/>
      <c r="L86" s="3"/>
      <c r="M86" s="3"/>
      <c r="N86" s="3"/>
      <c r="O86" s="3"/>
      <c r="P86" s="3"/>
      <c r="Q86" s="3"/>
      <c r="R86" s="3"/>
      <c r="S86" s="3"/>
      <c r="U86" s="2"/>
      <c r="V86" s="3"/>
      <c r="X86" s="2"/>
    </row>
    <row r="87" spans="1:24" x14ac:dyDescent="0.25">
      <c r="A87" s="7"/>
      <c r="B87" s="7"/>
      <c r="C87" s="9"/>
      <c r="D87" s="9"/>
      <c r="E87" s="9"/>
      <c r="F87" s="9"/>
      <c r="G87" s="32"/>
      <c r="H87" s="32"/>
      <c r="I87" s="3"/>
      <c r="J87" s="3"/>
      <c r="K87" s="3"/>
      <c r="L87" s="3"/>
      <c r="M87" s="3"/>
      <c r="N87" s="3"/>
      <c r="O87" s="3"/>
      <c r="P87" s="3"/>
      <c r="Q87" s="3"/>
      <c r="R87" s="3"/>
      <c r="S87" s="3"/>
      <c r="U87" s="2"/>
      <c r="V87" s="3"/>
      <c r="X87" s="2"/>
    </row>
    <row r="88" spans="1:24" x14ac:dyDescent="0.25">
      <c r="A88" s="7"/>
      <c r="B88" s="7"/>
      <c r="C88" s="9"/>
      <c r="D88" s="9"/>
      <c r="E88" s="9"/>
      <c r="F88" s="9"/>
      <c r="G88" s="32"/>
      <c r="H88" s="32"/>
      <c r="I88" s="3"/>
      <c r="J88" s="3"/>
      <c r="K88" s="3"/>
      <c r="L88" s="3"/>
      <c r="M88" s="3"/>
      <c r="N88" s="3"/>
      <c r="O88" s="3"/>
      <c r="P88" s="3"/>
      <c r="Q88" s="3"/>
      <c r="R88" s="3"/>
      <c r="S88" s="3"/>
      <c r="U88" s="2"/>
      <c r="V88" s="3"/>
      <c r="X88" s="2"/>
    </row>
    <row r="89" spans="1:24" x14ac:dyDescent="0.25">
      <c r="A89" s="7"/>
      <c r="B89" s="7"/>
      <c r="C89" s="9"/>
      <c r="D89" s="9"/>
      <c r="E89" s="9"/>
      <c r="F89" s="9"/>
      <c r="G89" s="32"/>
      <c r="H89" s="32"/>
      <c r="I89" s="3"/>
      <c r="J89" s="3"/>
      <c r="K89" s="3"/>
      <c r="L89" s="3"/>
      <c r="M89" s="3"/>
      <c r="N89" s="3"/>
      <c r="O89" s="3"/>
      <c r="P89" s="3"/>
      <c r="Q89" s="3"/>
      <c r="R89" s="3"/>
      <c r="S89" s="3"/>
      <c r="U89" s="2"/>
      <c r="V89" s="3"/>
      <c r="X89" s="2"/>
    </row>
    <row r="90" spans="1:24" x14ac:dyDescent="0.25">
      <c r="A90" s="7"/>
      <c r="B90" s="7"/>
      <c r="C90" s="9"/>
      <c r="D90" s="9"/>
      <c r="E90" s="9"/>
      <c r="F90" s="9"/>
      <c r="G90" s="32"/>
      <c r="H90" s="32"/>
      <c r="I90" s="3"/>
      <c r="J90" s="3"/>
      <c r="K90" s="3"/>
      <c r="L90" s="3"/>
      <c r="M90" s="3"/>
      <c r="N90" s="3"/>
      <c r="O90" s="3"/>
      <c r="P90" s="3"/>
      <c r="Q90" s="3"/>
      <c r="R90" s="3"/>
      <c r="S90" s="3"/>
      <c r="U90" s="2"/>
      <c r="V90" s="3"/>
      <c r="X90" s="2"/>
    </row>
    <row r="91" spans="1:24" x14ac:dyDescent="0.25">
      <c r="A91" s="7"/>
      <c r="B91" s="7"/>
      <c r="C91" s="9"/>
      <c r="D91" s="9"/>
      <c r="E91" s="9"/>
      <c r="F91" s="9"/>
      <c r="G91" s="32"/>
      <c r="H91" s="32"/>
      <c r="I91" s="3"/>
      <c r="J91" s="3"/>
      <c r="K91" s="3"/>
      <c r="L91" s="3"/>
      <c r="M91" s="3"/>
      <c r="N91" s="3"/>
      <c r="O91" s="3"/>
      <c r="P91" s="3"/>
      <c r="Q91" s="3"/>
      <c r="R91" s="3"/>
      <c r="S91" s="3"/>
      <c r="U91" s="2"/>
      <c r="V91" s="3"/>
      <c r="X91" s="2"/>
    </row>
    <row r="92" spans="1:24" x14ac:dyDescent="0.25">
      <c r="A92" s="7"/>
      <c r="B92" s="7"/>
      <c r="C92" s="9"/>
      <c r="D92" s="9"/>
      <c r="E92" s="9"/>
      <c r="F92" s="9"/>
      <c r="G92" s="32"/>
      <c r="H92" s="32"/>
      <c r="I92" s="3"/>
      <c r="J92" s="3"/>
      <c r="K92" s="3"/>
      <c r="L92" s="3"/>
      <c r="M92" s="3"/>
      <c r="N92" s="3"/>
      <c r="O92" s="3"/>
      <c r="P92" s="3"/>
      <c r="Q92" s="3"/>
      <c r="R92" s="3"/>
      <c r="S92" s="3"/>
      <c r="U92" s="2"/>
      <c r="V92" s="3"/>
      <c r="X92" s="2"/>
    </row>
    <row r="93" spans="1:24" x14ac:dyDescent="0.25">
      <c r="A93" s="7"/>
      <c r="B93" s="7"/>
      <c r="C93" s="9"/>
      <c r="D93" s="9"/>
      <c r="E93" s="9"/>
      <c r="F93" s="9"/>
      <c r="G93" s="32"/>
      <c r="H93" s="32"/>
      <c r="I93" s="3"/>
      <c r="J93" s="3"/>
      <c r="K93" s="3"/>
      <c r="L93" s="3"/>
      <c r="M93" s="3"/>
      <c r="N93" s="3"/>
      <c r="O93" s="3"/>
      <c r="P93" s="3"/>
      <c r="Q93" s="3"/>
      <c r="R93" s="3"/>
      <c r="S93" s="3"/>
      <c r="U93" s="2"/>
      <c r="V93" s="3"/>
      <c r="X93" s="2"/>
    </row>
    <row r="94" spans="1:24" x14ac:dyDescent="0.25">
      <c r="A94" s="7"/>
      <c r="B94" s="7"/>
      <c r="C94" s="9"/>
      <c r="D94" s="9"/>
      <c r="E94" s="9"/>
      <c r="F94" s="9"/>
      <c r="G94" s="32"/>
      <c r="H94" s="32"/>
      <c r="I94" s="3"/>
      <c r="J94" s="3"/>
      <c r="K94" s="3"/>
      <c r="L94" s="3"/>
      <c r="M94" s="3"/>
      <c r="N94" s="3"/>
      <c r="O94" s="3"/>
      <c r="P94" s="3"/>
      <c r="Q94" s="3"/>
      <c r="R94" s="3"/>
      <c r="S94" s="3"/>
      <c r="U94" s="2"/>
      <c r="V94" s="3"/>
      <c r="X94" s="2"/>
    </row>
    <row r="95" spans="1:24" x14ac:dyDescent="0.25">
      <c r="A95" s="7"/>
      <c r="B95" s="7"/>
      <c r="C95" s="9"/>
      <c r="D95" s="9"/>
      <c r="E95" s="9"/>
      <c r="F95" s="9"/>
      <c r="G95" s="32"/>
      <c r="H95" s="32"/>
      <c r="I95" s="3"/>
      <c r="J95" s="3"/>
      <c r="K95" s="3"/>
      <c r="L95" s="3"/>
      <c r="M95" s="3"/>
      <c r="N95" s="3"/>
      <c r="O95" s="3"/>
      <c r="P95" s="3"/>
      <c r="Q95" s="3"/>
      <c r="R95" s="3"/>
      <c r="S95" s="3"/>
      <c r="U95" s="2"/>
      <c r="V95" s="3"/>
      <c r="X95" s="2"/>
    </row>
    <row r="96" spans="1:24" x14ac:dyDescent="0.25">
      <c r="A96" s="7"/>
      <c r="B96" s="7"/>
      <c r="C96" s="9"/>
      <c r="D96" s="9"/>
      <c r="E96" s="9"/>
      <c r="F96" s="9"/>
      <c r="G96" s="32"/>
      <c r="H96" s="32"/>
      <c r="I96" s="3"/>
      <c r="J96" s="3"/>
      <c r="K96" s="3"/>
      <c r="L96" s="3"/>
      <c r="M96" s="3"/>
      <c r="N96" s="3"/>
      <c r="O96" s="3"/>
      <c r="P96" s="3"/>
      <c r="Q96" s="3"/>
      <c r="R96" s="3"/>
      <c r="S96" s="3"/>
      <c r="U96" s="2"/>
      <c r="V96" s="3"/>
      <c r="X96" s="2"/>
    </row>
    <row r="97" spans="1:24" x14ac:dyDescent="0.25">
      <c r="A97" s="7"/>
      <c r="B97" s="7"/>
      <c r="C97" s="9"/>
      <c r="D97" s="9"/>
      <c r="E97" s="9"/>
      <c r="F97" s="9"/>
      <c r="G97" s="32"/>
      <c r="H97" s="32"/>
      <c r="I97" s="3"/>
      <c r="J97" s="3"/>
      <c r="K97" s="3"/>
      <c r="L97" s="3"/>
      <c r="M97" s="3"/>
      <c r="N97" s="3"/>
      <c r="O97" s="3"/>
      <c r="P97" s="3"/>
      <c r="Q97" s="3"/>
      <c r="R97" s="3"/>
      <c r="S97" s="3"/>
      <c r="U97" s="2"/>
      <c r="V97" s="3"/>
      <c r="X97" s="2"/>
    </row>
    <row r="98" spans="1:24" x14ac:dyDescent="0.25">
      <c r="A98" s="7"/>
      <c r="B98" s="7"/>
      <c r="C98" s="9"/>
      <c r="D98" s="9"/>
      <c r="E98" s="9"/>
      <c r="F98" s="9"/>
      <c r="G98" s="32"/>
      <c r="H98" s="32"/>
      <c r="I98" s="3"/>
      <c r="J98" s="3"/>
      <c r="K98" s="3"/>
      <c r="L98" s="3"/>
      <c r="M98" s="3"/>
      <c r="N98" s="3"/>
      <c r="O98" s="3"/>
      <c r="P98" s="3"/>
      <c r="Q98" s="3"/>
      <c r="R98" s="3"/>
      <c r="S98" s="3"/>
      <c r="U98" s="2"/>
      <c r="V98" s="3"/>
      <c r="X98" s="2"/>
    </row>
    <row r="99" spans="1:24" x14ac:dyDescent="0.25">
      <c r="A99" s="7"/>
      <c r="B99" s="7"/>
      <c r="C99" s="9"/>
      <c r="D99" s="9"/>
      <c r="E99" s="9"/>
      <c r="F99" s="9"/>
      <c r="G99" s="32"/>
      <c r="H99" s="32"/>
      <c r="I99" s="3"/>
      <c r="J99" s="3"/>
      <c r="K99" s="3"/>
      <c r="L99" s="3"/>
      <c r="M99" s="3"/>
      <c r="N99" s="3"/>
      <c r="O99" s="3"/>
      <c r="P99" s="3"/>
      <c r="Q99" s="3"/>
      <c r="R99" s="3"/>
      <c r="S99" s="3"/>
      <c r="U99" s="2"/>
      <c r="V99" s="3"/>
      <c r="X99" s="2"/>
    </row>
    <row r="100" spans="1:24" x14ac:dyDescent="0.25">
      <c r="A100" s="7"/>
      <c r="B100" s="7"/>
      <c r="C100" s="9"/>
      <c r="D100" s="9"/>
      <c r="E100" s="9"/>
      <c r="F100" s="9"/>
      <c r="G100" s="32"/>
      <c r="H100" s="32"/>
      <c r="I100" s="3"/>
      <c r="J100" s="3"/>
      <c r="K100" s="3"/>
      <c r="L100" s="3"/>
      <c r="M100" s="3"/>
      <c r="N100" s="3"/>
      <c r="O100" s="3"/>
      <c r="P100" s="3"/>
      <c r="Q100" s="3"/>
      <c r="R100" s="3"/>
      <c r="S100" s="3"/>
      <c r="U100" s="2"/>
      <c r="V100" s="3"/>
      <c r="X100" s="2"/>
    </row>
    <row r="101" spans="1:24" x14ac:dyDescent="0.25">
      <c r="A101" s="7"/>
      <c r="B101" s="7"/>
      <c r="C101" s="9"/>
      <c r="D101" s="9"/>
      <c r="E101" s="9"/>
      <c r="F101" s="9"/>
      <c r="G101" s="32"/>
      <c r="H101" s="32"/>
      <c r="I101" s="3"/>
      <c r="J101" s="3"/>
      <c r="K101" s="3"/>
      <c r="L101" s="3"/>
      <c r="M101" s="3"/>
      <c r="N101" s="3"/>
      <c r="O101" s="3"/>
      <c r="P101" s="3"/>
      <c r="Q101" s="3"/>
      <c r="R101" s="3"/>
      <c r="S101" s="3"/>
      <c r="U101" s="2"/>
      <c r="V101" s="3"/>
      <c r="X101" s="2"/>
    </row>
    <row r="102" spans="1:24" x14ac:dyDescent="0.25">
      <c r="A102" s="7"/>
      <c r="B102" s="7"/>
      <c r="C102" s="9"/>
      <c r="D102" s="9"/>
      <c r="E102" s="9"/>
      <c r="F102" s="9"/>
      <c r="G102" s="32"/>
      <c r="H102" s="32"/>
      <c r="I102" s="3"/>
      <c r="J102" s="3"/>
      <c r="K102" s="3"/>
      <c r="L102" s="3"/>
      <c r="M102" s="3"/>
      <c r="N102" s="3"/>
      <c r="O102" s="3"/>
      <c r="P102" s="3"/>
      <c r="Q102" s="3"/>
      <c r="R102" s="3"/>
      <c r="S102" s="3"/>
      <c r="U102" s="2"/>
      <c r="V102" s="3"/>
      <c r="X102" s="2"/>
    </row>
    <row r="103" spans="1:24" x14ac:dyDescent="0.25">
      <c r="A103" s="7"/>
      <c r="B103" s="7"/>
      <c r="C103" s="9"/>
      <c r="D103" s="9"/>
      <c r="E103" s="9"/>
      <c r="F103" s="9"/>
      <c r="G103" s="32"/>
      <c r="H103" s="32"/>
      <c r="I103" s="3"/>
      <c r="J103" s="3"/>
      <c r="K103" s="3"/>
      <c r="L103" s="3"/>
      <c r="M103" s="3"/>
      <c r="N103" s="3"/>
      <c r="O103" s="3"/>
      <c r="P103" s="3"/>
      <c r="Q103" s="3"/>
      <c r="R103" s="3"/>
      <c r="S103" s="3"/>
      <c r="U103" s="2"/>
      <c r="V103" s="3"/>
      <c r="X103" s="2"/>
    </row>
    <row r="104" spans="1:24" x14ac:dyDescent="0.25">
      <c r="A104" s="7"/>
      <c r="B104" s="7"/>
      <c r="C104" s="9"/>
      <c r="D104" s="9"/>
      <c r="E104" s="9"/>
      <c r="F104" s="9"/>
      <c r="G104" s="32"/>
      <c r="H104" s="32"/>
      <c r="I104" s="3"/>
      <c r="J104" s="3"/>
      <c r="K104" s="3"/>
      <c r="L104" s="3"/>
      <c r="M104" s="3"/>
      <c r="N104" s="3"/>
      <c r="O104" s="3"/>
      <c r="P104" s="3"/>
      <c r="Q104" s="3"/>
      <c r="R104" s="3"/>
      <c r="S104" s="3"/>
      <c r="U104" s="2"/>
      <c r="V104" s="3"/>
      <c r="X104" s="2"/>
    </row>
    <row r="105" spans="1:24" x14ac:dyDescent="0.25">
      <c r="A105" s="7"/>
      <c r="B105" s="7"/>
      <c r="C105" s="9"/>
      <c r="D105" s="9"/>
      <c r="E105" s="9"/>
      <c r="F105" s="9"/>
      <c r="G105" s="32"/>
      <c r="H105" s="32"/>
      <c r="I105" s="3"/>
      <c r="J105" s="3"/>
      <c r="K105" s="3"/>
      <c r="L105" s="3"/>
      <c r="M105" s="3"/>
      <c r="N105" s="3"/>
      <c r="O105" s="3"/>
      <c r="P105" s="3"/>
      <c r="Q105" s="3"/>
      <c r="R105" s="3"/>
      <c r="S105" s="3"/>
      <c r="U105" s="2"/>
      <c r="V105" s="3"/>
      <c r="X105" s="2"/>
    </row>
    <row r="106" spans="1:24" x14ac:dyDescent="0.25">
      <c r="A106" s="7"/>
      <c r="B106" s="7"/>
      <c r="C106" s="9"/>
      <c r="D106" s="9"/>
      <c r="E106" s="9"/>
      <c r="F106" s="9"/>
      <c r="G106" s="32"/>
      <c r="H106" s="32"/>
      <c r="I106" s="3"/>
      <c r="J106" s="3"/>
      <c r="K106" s="3"/>
      <c r="L106" s="3"/>
      <c r="M106" s="3"/>
      <c r="N106" s="3"/>
      <c r="O106" s="3"/>
      <c r="P106" s="3"/>
      <c r="Q106" s="3"/>
      <c r="R106" s="3"/>
      <c r="S106" s="3"/>
      <c r="U106" s="2"/>
      <c r="V106" s="3"/>
      <c r="X106" s="2"/>
    </row>
    <row r="107" spans="1:24" x14ac:dyDescent="0.25">
      <c r="A107" s="7"/>
      <c r="B107" s="7"/>
      <c r="C107" s="9"/>
      <c r="D107" s="9"/>
      <c r="E107" s="9"/>
      <c r="F107" s="9"/>
      <c r="G107" s="32"/>
      <c r="H107" s="32"/>
      <c r="I107" s="3"/>
      <c r="J107" s="3"/>
      <c r="K107" s="3"/>
      <c r="L107" s="3"/>
      <c r="M107" s="3"/>
      <c r="N107" s="3"/>
      <c r="O107" s="3"/>
      <c r="P107" s="3"/>
      <c r="Q107" s="3"/>
      <c r="R107" s="3"/>
      <c r="S107" s="3"/>
      <c r="U107" s="2"/>
      <c r="V107" s="3"/>
      <c r="X107" s="2"/>
    </row>
    <row r="108" spans="1:24" x14ac:dyDescent="0.25">
      <c r="A108" s="7"/>
      <c r="B108" s="7"/>
      <c r="C108" s="9"/>
      <c r="D108" s="9"/>
      <c r="E108" s="9"/>
      <c r="F108" s="9"/>
      <c r="G108" s="32"/>
      <c r="H108" s="32"/>
      <c r="I108" s="3"/>
      <c r="J108" s="3"/>
      <c r="K108" s="3"/>
      <c r="L108" s="3"/>
      <c r="M108" s="3"/>
      <c r="N108" s="3"/>
      <c r="O108" s="3"/>
      <c r="P108" s="3"/>
      <c r="Q108" s="3"/>
      <c r="R108" s="3"/>
      <c r="S108" s="3"/>
      <c r="U108" s="2"/>
      <c r="V108" s="3"/>
      <c r="X108" s="2"/>
    </row>
    <row r="109" spans="1:24" x14ac:dyDescent="0.25">
      <c r="A109" s="7"/>
      <c r="B109" s="7"/>
      <c r="C109" s="9"/>
      <c r="D109" s="9"/>
      <c r="E109" s="9"/>
      <c r="F109" s="9"/>
      <c r="G109" s="32"/>
      <c r="H109" s="32"/>
      <c r="I109" s="3"/>
      <c r="J109" s="3"/>
      <c r="K109" s="3"/>
      <c r="L109" s="3"/>
      <c r="M109" s="3"/>
      <c r="N109" s="3"/>
      <c r="O109" s="3"/>
      <c r="P109" s="3"/>
      <c r="Q109" s="3"/>
      <c r="R109" s="3"/>
      <c r="S109" s="3"/>
      <c r="U109" s="2"/>
      <c r="V109" s="3"/>
      <c r="X109" s="2"/>
    </row>
    <row r="110" spans="1:24" x14ac:dyDescent="0.25">
      <c r="A110" s="7"/>
      <c r="B110" s="7"/>
      <c r="C110" s="9"/>
      <c r="D110" s="9"/>
      <c r="E110" s="9"/>
      <c r="F110" s="9"/>
      <c r="G110" s="32"/>
      <c r="H110" s="32"/>
      <c r="I110" s="3"/>
      <c r="J110" s="3"/>
      <c r="K110" s="3"/>
      <c r="L110" s="3"/>
      <c r="M110" s="3"/>
      <c r="N110" s="3"/>
      <c r="O110" s="3"/>
      <c r="P110" s="3"/>
      <c r="Q110" s="3"/>
      <c r="R110" s="3"/>
      <c r="S110" s="3"/>
      <c r="U110" s="2"/>
      <c r="V110" s="3"/>
      <c r="X110" s="2"/>
    </row>
    <row r="111" spans="1:24" x14ac:dyDescent="0.25">
      <c r="A111" s="7"/>
      <c r="B111" s="7"/>
      <c r="C111" s="9"/>
      <c r="D111" s="9"/>
      <c r="E111" s="9"/>
      <c r="F111" s="9"/>
      <c r="G111" s="32"/>
      <c r="H111" s="32"/>
      <c r="I111" s="3"/>
      <c r="J111" s="3"/>
      <c r="K111" s="3"/>
      <c r="L111" s="3"/>
      <c r="M111" s="3"/>
      <c r="N111" s="3"/>
      <c r="O111" s="3"/>
      <c r="P111" s="3"/>
      <c r="Q111" s="3"/>
      <c r="R111" s="3"/>
      <c r="S111" s="3"/>
      <c r="U111" s="2"/>
      <c r="V111" s="3"/>
      <c r="X111" s="2"/>
    </row>
    <row r="112" spans="1:24" x14ac:dyDescent="0.25">
      <c r="A112" s="7"/>
      <c r="B112" s="7"/>
      <c r="C112" s="9"/>
      <c r="D112" s="9"/>
      <c r="E112" s="9"/>
      <c r="F112" s="9"/>
      <c r="G112" s="32"/>
      <c r="H112" s="32"/>
      <c r="I112" s="3"/>
      <c r="J112" s="3"/>
      <c r="K112" s="3"/>
      <c r="L112" s="3"/>
      <c r="M112" s="3"/>
      <c r="N112" s="3"/>
      <c r="O112" s="3"/>
      <c r="P112" s="3"/>
      <c r="Q112" s="3"/>
      <c r="R112" s="3"/>
      <c r="S112" s="3"/>
      <c r="U112" s="2"/>
      <c r="V112" s="3"/>
      <c r="X112" s="2"/>
    </row>
    <row r="113" spans="1:24" x14ac:dyDescent="0.25">
      <c r="A113" s="7"/>
      <c r="B113" s="7"/>
      <c r="C113" s="9"/>
      <c r="D113" s="9"/>
      <c r="E113" s="9"/>
      <c r="F113" s="9"/>
      <c r="G113" s="32"/>
      <c r="H113" s="32"/>
      <c r="I113" s="3"/>
      <c r="J113" s="3"/>
      <c r="K113" s="3"/>
      <c r="L113" s="3"/>
      <c r="M113" s="3"/>
      <c r="N113" s="3"/>
      <c r="O113" s="3"/>
      <c r="P113" s="3"/>
      <c r="Q113" s="3"/>
      <c r="R113" s="3"/>
      <c r="S113" s="3"/>
      <c r="U113" s="2"/>
      <c r="V113" s="3"/>
      <c r="X113" s="2"/>
    </row>
    <row r="114" spans="1:24" x14ac:dyDescent="0.25">
      <c r="A114" s="7"/>
      <c r="B114" s="7"/>
      <c r="C114" s="9"/>
      <c r="D114" s="9"/>
      <c r="E114" s="9"/>
      <c r="F114" s="9"/>
      <c r="G114" s="32"/>
      <c r="H114" s="32"/>
      <c r="I114" s="3"/>
      <c r="J114" s="3"/>
      <c r="K114" s="3"/>
      <c r="L114" s="3"/>
      <c r="M114" s="3"/>
      <c r="N114" s="3"/>
      <c r="O114" s="3"/>
      <c r="P114" s="3"/>
      <c r="Q114" s="3"/>
      <c r="R114" s="3"/>
      <c r="S114" s="3"/>
      <c r="U114" s="2"/>
      <c r="V114" s="3"/>
      <c r="X114" s="2"/>
    </row>
    <row r="115" spans="1:24" x14ac:dyDescent="0.25">
      <c r="A115" s="7"/>
      <c r="B115" s="7"/>
      <c r="C115" s="9"/>
      <c r="D115" s="9"/>
      <c r="E115" s="9"/>
      <c r="F115" s="9"/>
      <c r="G115" s="32"/>
      <c r="H115" s="32"/>
      <c r="I115" s="3"/>
      <c r="J115" s="3"/>
      <c r="K115" s="3"/>
      <c r="L115" s="3"/>
      <c r="M115" s="3"/>
      <c r="N115" s="3"/>
      <c r="O115" s="3"/>
      <c r="P115" s="3"/>
      <c r="Q115" s="3"/>
      <c r="R115" s="3"/>
      <c r="S115" s="3"/>
      <c r="U115" s="2"/>
      <c r="V115" s="3"/>
      <c r="X115" s="2"/>
    </row>
    <row r="116" spans="1:24" x14ac:dyDescent="0.25">
      <c r="A116" s="7"/>
      <c r="B116" s="7"/>
      <c r="C116" s="9"/>
      <c r="D116" s="9"/>
      <c r="E116" s="9"/>
      <c r="F116" s="9"/>
      <c r="G116" s="32"/>
      <c r="H116" s="32"/>
      <c r="I116" s="3"/>
      <c r="J116" s="3"/>
      <c r="K116" s="3"/>
      <c r="L116" s="3"/>
      <c r="M116" s="3"/>
      <c r="N116" s="3"/>
      <c r="O116" s="3"/>
      <c r="P116" s="3"/>
      <c r="Q116" s="3"/>
      <c r="R116" s="3"/>
      <c r="S116" s="3"/>
      <c r="U116" s="2"/>
      <c r="V116" s="3"/>
      <c r="X116" s="2"/>
    </row>
    <row r="117" spans="1:24" x14ac:dyDescent="0.25">
      <c r="A117" s="7"/>
      <c r="B117" s="7"/>
      <c r="C117" s="9"/>
      <c r="D117" s="9"/>
      <c r="E117" s="9"/>
      <c r="F117" s="9"/>
      <c r="G117" s="32"/>
      <c r="H117" s="32"/>
      <c r="I117" s="3"/>
      <c r="J117" s="3"/>
      <c r="K117" s="3"/>
      <c r="L117" s="3"/>
      <c r="M117" s="3"/>
      <c r="N117" s="3"/>
      <c r="O117" s="3"/>
      <c r="P117" s="3"/>
      <c r="Q117" s="3"/>
      <c r="R117" s="3"/>
      <c r="S117" s="3"/>
      <c r="U117" s="2"/>
      <c r="V117" s="3"/>
      <c r="X117" s="2"/>
    </row>
    <row r="118" spans="1:24" x14ac:dyDescent="0.25">
      <c r="A118" s="7"/>
      <c r="B118" s="7"/>
      <c r="C118" s="9"/>
      <c r="D118" s="9"/>
      <c r="E118" s="9"/>
      <c r="F118" s="9"/>
      <c r="G118" s="32"/>
      <c r="H118" s="32"/>
      <c r="I118" s="3"/>
      <c r="J118" s="3"/>
      <c r="K118" s="3"/>
      <c r="L118" s="3"/>
      <c r="M118" s="3"/>
      <c r="N118" s="3"/>
      <c r="O118" s="3"/>
      <c r="P118" s="3"/>
      <c r="Q118" s="3"/>
      <c r="R118" s="3"/>
      <c r="S118" s="3"/>
      <c r="U118" s="2"/>
      <c r="V118" s="3"/>
      <c r="X118" s="2"/>
    </row>
    <row r="119" spans="1:24" x14ac:dyDescent="0.25">
      <c r="A119" s="7"/>
      <c r="B119" s="7"/>
      <c r="C119" s="9"/>
      <c r="D119" s="9"/>
      <c r="E119" s="9"/>
      <c r="F119" s="9"/>
      <c r="G119" s="32"/>
      <c r="H119" s="32"/>
      <c r="I119" s="3"/>
      <c r="J119" s="3"/>
      <c r="K119" s="3"/>
      <c r="L119" s="3"/>
      <c r="M119" s="3"/>
      <c r="N119" s="3"/>
      <c r="O119" s="3"/>
      <c r="P119" s="3"/>
      <c r="Q119" s="3"/>
      <c r="R119" s="3"/>
      <c r="S119" s="3"/>
      <c r="U119" s="2"/>
      <c r="V119" s="3"/>
      <c r="X119" s="2"/>
    </row>
    <row r="120" spans="1:24" x14ac:dyDescent="0.25">
      <c r="A120" s="7"/>
      <c r="B120" s="7"/>
      <c r="C120" s="9"/>
      <c r="D120" s="9"/>
      <c r="E120" s="9"/>
      <c r="F120" s="9"/>
      <c r="G120" s="32"/>
      <c r="H120" s="32"/>
      <c r="I120" s="3"/>
      <c r="J120" s="3"/>
      <c r="K120" s="3"/>
      <c r="L120" s="3"/>
      <c r="M120" s="3"/>
      <c r="N120" s="3"/>
      <c r="O120" s="3"/>
      <c r="P120" s="3"/>
      <c r="Q120" s="3"/>
      <c r="R120" s="3"/>
      <c r="S120" s="3"/>
      <c r="U120" s="2"/>
      <c r="V120" s="3"/>
      <c r="X120" s="2"/>
    </row>
    <row r="121" spans="1:24" x14ac:dyDescent="0.25">
      <c r="A121" s="7"/>
      <c r="B121" s="7"/>
      <c r="C121" s="9"/>
      <c r="D121" s="9"/>
      <c r="E121" s="9"/>
      <c r="F121" s="9"/>
      <c r="G121" s="32"/>
      <c r="H121" s="32"/>
      <c r="I121" s="3"/>
      <c r="J121" s="3"/>
      <c r="K121" s="3"/>
      <c r="L121" s="3"/>
      <c r="M121" s="3"/>
      <c r="N121" s="3"/>
      <c r="O121" s="3"/>
      <c r="P121" s="3"/>
      <c r="Q121" s="3"/>
      <c r="R121" s="3"/>
      <c r="S121" s="3"/>
      <c r="U121" s="2"/>
      <c r="V121" s="3"/>
      <c r="X121" s="2"/>
    </row>
    <row r="122" spans="1:24" x14ac:dyDescent="0.25">
      <c r="A122" s="7"/>
      <c r="B122" s="7"/>
      <c r="C122" s="9"/>
      <c r="D122" s="9"/>
      <c r="E122" s="9"/>
      <c r="F122" s="9"/>
      <c r="G122" s="32"/>
      <c r="H122" s="32"/>
      <c r="I122" s="3"/>
      <c r="J122" s="3"/>
      <c r="K122" s="3"/>
      <c r="L122" s="3"/>
      <c r="M122" s="3"/>
      <c r="N122" s="3"/>
      <c r="O122" s="3"/>
      <c r="P122" s="3"/>
      <c r="Q122" s="3"/>
      <c r="R122" s="3"/>
      <c r="S122" s="3"/>
      <c r="U122" s="2"/>
      <c r="V122" s="3"/>
      <c r="X122" s="2"/>
    </row>
    <row r="123" spans="1:24" x14ac:dyDescent="0.25">
      <c r="A123" s="7"/>
      <c r="B123" s="7"/>
      <c r="C123" s="9"/>
      <c r="D123" s="9"/>
      <c r="E123" s="9"/>
      <c r="F123" s="9"/>
      <c r="G123" s="32"/>
      <c r="H123" s="32"/>
      <c r="I123" s="3"/>
      <c r="J123" s="3"/>
      <c r="K123" s="3"/>
      <c r="L123" s="3"/>
      <c r="M123" s="3"/>
      <c r="N123" s="3"/>
      <c r="O123" s="3"/>
      <c r="P123" s="3"/>
      <c r="Q123" s="3"/>
      <c r="R123" s="3"/>
      <c r="S123" s="3"/>
      <c r="U123" s="2"/>
      <c r="V123" s="3"/>
      <c r="X123" s="2"/>
    </row>
    <row r="124" spans="1:24" x14ac:dyDescent="0.25">
      <c r="A124" s="7" t="s">
        <v>49</v>
      </c>
      <c r="B124" s="7"/>
      <c r="C124" s="9"/>
      <c r="D124" s="9"/>
      <c r="E124" s="9"/>
      <c r="F124" s="9"/>
      <c r="G124" s="32"/>
      <c r="H124" s="32"/>
      <c r="I124" s="3"/>
      <c r="J124" s="3"/>
      <c r="K124" s="3"/>
      <c r="L124" s="3"/>
      <c r="M124" s="3"/>
      <c r="N124" s="3"/>
      <c r="O124" s="3"/>
      <c r="P124" s="3"/>
      <c r="Q124" s="3"/>
      <c r="R124" s="3"/>
      <c r="S124" s="3"/>
      <c r="U124" s="2"/>
      <c r="V124" s="3"/>
      <c r="X124" s="2"/>
    </row>
    <row r="125" spans="1:24" x14ac:dyDescent="0.25">
      <c r="A125" s="8"/>
      <c r="B125" s="8"/>
      <c r="C125" s="11"/>
      <c r="D125" s="11"/>
      <c r="E125" s="11"/>
      <c r="F125" s="11"/>
      <c r="G125" s="32"/>
      <c r="H125" s="32"/>
      <c r="I125" s="3"/>
      <c r="J125" s="3"/>
      <c r="K125" s="3"/>
      <c r="L125" s="3"/>
      <c r="M125" s="3"/>
      <c r="N125" s="3"/>
      <c r="O125" s="3"/>
      <c r="P125" s="3"/>
      <c r="Q125" s="3"/>
      <c r="R125" s="3"/>
      <c r="S125" s="3"/>
      <c r="U125" s="2"/>
      <c r="V125" s="3"/>
      <c r="X125" s="2"/>
    </row>
    <row r="126" spans="1:24" x14ac:dyDescent="0.25">
      <c r="J126" s="4"/>
      <c r="K126" s="4"/>
      <c r="L126" s="4"/>
      <c r="M126" s="4"/>
      <c r="N126" s="4"/>
      <c r="O126" s="4"/>
      <c r="P126" s="4"/>
      <c r="Q126" s="4"/>
      <c r="R126" s="4"/>
      <c r="S126" s="4"/>
      <c r="T126" s="5"/>
      <c r="U126" s="6"/>
      <c r="V126" s="4"/>
      <c r="W126" s="5"/>
      <c r="X126" s="6"/>
    </row>
  </sheetData>
  <mergeCells count="2">
    <mergeCell ref="D4:F4"/>
    <mergeCell ref="G4:I4"/>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ae877d9c-37d6-47c5-b648-4eff3afbf52c">
      <UserInfo>
        <DisplayName/>
        <AccountId xsi:nil="true"/>
        <AccountType/>
      </UserInfo>
    </SharedWithUsers>
    <lcf76f155ced4ddcb4097134ff3c332f xmlns="5d7c02e1-8b13-4b56-91bc-94953f8a12e4">
      <Terms xmlns="http://schemas.microsoft.com/office/infopath/2007/PartnerControls"/>
    </lcf76f155ced4ddcb4097134ff3c332f>
    <TaxCatchAll xmlns="ae877d9c-37d6-47c5-b648-4eff3afbf52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5EA6C4CC908D384681C994537EA185FB" ma:contentTypeVersion="16" ma:contentTypeDescription="Create a new document." ma:contentTypeScope="" ma:versionID="1efe8ee8758cb9a82c6f4da65ee94eb3">
  <xsd:schema xmlns:xsd="http://www.w3.org/2001/XMLSchema" xmlns:xs="http://www.w3.org/2001/XMLSchema" xmlns:p="http://schemas.microsoft.com/office/2006/metadata/properties" xmlns:ns2="5d7c02e1-8b13-4b56-91bc-94953f8a12e4" xmlns:ns3="ae877d9c-37d6-47c5-b648-4eff3afbf52c" targetNamespace="http://schemas.microsoft.com/office/2006/metadata/properties" ma:root="true" ma:fieldsID="eab92aaf5af5f1ec311fddfe599ecfe6" ns2:_="" ns3:_="">
    <xsd:import namespace="5d7c02e1-8b13-4b56-91bc-94953f8a12e4"/>
    <xsd:import namespace="ae877d9c-37d6-47c5-b648-4eff3afbf52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Location" minOccurs="0"/>
                <xsd:element ref="ns2:MediaServiceOCR" minOccurs="0"/>
                <xsd:element ref="ns2:MediaServiceSearchProperties" minOccurs="0"/>
                <xsd:element ref="ns3:SharedWithUsers" minOccurs="0"/>
                <xsd:element ref="ns3:SharedWithDetails"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7c02e1-8b13-4b56-91bc-94953f8a12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ffc78bd8-db31-4712-a006-2d951f62dd8d"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e877d9c-37d6-47c5-b648-4eff3afbf52c"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3fbf871-9630-4769-bbc3-d59b65a08d8d}" ma:internalName="TaxCatchAll" ma:showField="CatchAllData" ma:web="ae877d9c-37d6-47c5-b648-4eff3afbf52c">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1D441C4-68A9-45CD-A7EF-ECB9F274D17E}">
  <ds:schemaRefs>
    <ds:schemaRef ds:uri="http://schemas.microsoft.com/office/2006/metadata/properties"/>
    <ds:schemaRef ds:uri="http://schemas.microsoft.com/office/infopath/2007/PartnerControls"/>
    <ds:schemaRef ds:uri="ae877d9c-37d6-47c5-b648-4eff3afbf52c"/>
    <ds:schemaRef ds:uri="5d7c02e1-8b13-4b56-91bc-94953f8a12e4"/>
  </ds:schemaRefs>
</ds:datastoreItem>
</file>

<file path=customXml/itemProps2.xml><?xml version="1.0" encoding="utf-8"?>
<ds:datastoreItem xmlns:ds="http://schemas.openxmlformats.org/officeDocument/2006/customXml" ds:itemID="{3BDBB1FB-5AC4-4236-995F-145B20402962}">
  <ds:schemaRefs>
    <ds:schemaRef ds:uri="http://schemas.microsoft.com/sharepoint/v3/contenttype/forms"/>
  </ds:schemaRefs>
</ds:datastoreItem>
</file>

<file path=customXml/itemProps3.xml><?xml version="1.0" encoding="utf-8"?>
<ds:datastoreItem xmlns:ds="http://schemas.openxmlformats.org/officeDocument/2006/customXml" ds:itemID="{4D4FD3E5-1DFC-49B8-B182-50698FE27197}">
  <ds:schemaRefs>
    <ds:schemaRef ds:uri="http://schemas.microsoft.com/DataMashup"/>
  </ds:schemaRefs>
</ds:datastoreItem>
</file>

<file path=customXml/itemProps4.xml><?xml version="1.0" encoding="utf-8"?>
<ds:datastoreItem xmlns:ds="http://schemas.openxmlformats.org/officeDocument/2006/customXml" ds:itemID="{75E216E4-E434-4D30-823B-087DC09A9C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7c02e1-8b13-4b56-91bc-94953f8a12e4"/>
    <ds:schemaRef ds:uri="ae877d9c-37d6-47c5-b648-4eff3afbf5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D63_Nr_13_14_15 (16_17)</vt:lpstr>
      <vt:lpstr>D63_Nr_1_2_3</vt:lpstr>
      <vt:lpstr>D32_Nr_1_2_3</vt:lpstr>
      <vt:lpstr>D100_Nr_1_2_3</vt:lpstr>
      <vt:lpstr>D63_Nr_7_8_9</vt:lpstr>
      <vt:lpstr>D32_Nr_13_14_15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Hahn, Alexander [EMR/DISC/DAUT/LAAT]</dc:creator>
  <cp:keywords/>
  <dc:description/>
  <cp:lastModifiedBy>Hahn, Alexander [EMR/FCTL/FLMC/LAAT]</cp:lastModifiedBy>
  <cp:revision/>
  <dcterms:created xsi:type="dcterms:W3CDTF">2015-06-05T18:19:34Z</dcterms:created>
  <dcterms:modified xsi:type="dcterms:W3CDTF">2026-05-26T09:58:34Z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0x0101005EA6C4CC908D384681C994537EA185FB</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SIP_Label_d38901aa-f724-46bf-bb4f-aef09392934b_Enabled">
    <vt:lpwstr>true</vt:lpwstr>
  </property>
  <property fmtid="{D5CDD505-2E9C-101B-9397-08002B2CF9AE}" pid="8" name="MSIP_Label_d38901aa-f724-46bf-bb4f-aef09392934b_SetDate">
    <vt:lpwstr>2026-04-01T09:34:48Z</vt:lpwstr>
  </property>
  <property fmtid="{D5CDD505-2E9C-101B-9397-08002B2CF9AE}" pid="9" name="MSIP_Label_d38901aa-f724-46bf-bb4f-aef09392934b_Method">
    <vt:lpwstr>Standard</vt:lpwstr>
  </property>
  <property fmtid="{D5CDD505-2E9C-101B-9397-08002B2CF9AE}" pid="10" name="MSIP_Label_d38901aa-f724-46bf-bb4f-aef09392934b_Name">
    <vt:lpwstr>Internal - No Label</vt:lpwstr>
  </property>
  <property fmtid="{D5CDD505-2E9C-101B-9397-08002B2CF9AE}" pid="11" name="MSIP_Label_d38901aa-f724-46bf-bb4f-aef09392934b_SiteId">
    <vt:lpwstr>eb06985d-06ca-4a17-81da-629ab99f6505</vt:lpwstr>
  </property>
  <property fmtid="{D5CDD505-2E9C-101B-9397-08002B2CF9AE}" pid="12" name="MSIP_Label_d38901aa-f724-46bf-bb4f-aef09392934b_ActionId">
    <vt:lpwstr>11569e0e-4455-4ebc-99f0-2d3ad395f1c5</vt:lpwstr>
  </property>
  <property fmtid="{D5CDD505-2E9C-101B-9397-08002B2CF9AE}" pid="13" name="MSIP_Label_d38901aa-f724-46bf-bb4f-aef09392934b_ContentBits">
    <vt:lpwstr>0</vt:lpwstr>
  </property>
  <property fmtid="{D5CDD505-2E9C-101B-9397-08002B2CF9AE}" pid="14" name="MSIP_Label_d38901aa-f724-46bf-bb4f-aef09392934b_Tag">
    <vt:lpwstr>10, 3, 0, 2</vt:lpwstr>
  </property>
</Properties>
</file>